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8e713b0c7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Calculator" sheetId="1" r:id="R9014a8f5ff1a44bb"/>
    <x:sheet xmlns:r="http://schemas.openxmlformats.org/officeDocument/2006/relationships" name="Operating Model" sheetId="2" r:id="R345b9433a2c9413f"/>
    <x:sheet xmlns:r="http://schemas.openxmlformats.org/officeDocument/2006/relationships" name="Assumptions" sheetId="3" r:id="R47d9222b4617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#,##0;[Red](#,##0);-"/>
    <x:numFmt numFmtId="202" formatCode="0.0%;[Red](0.0%);-"/>
    <x:numFmt numFmtId="203" formatCode="0.0x;[Red](0.0x);-"/>
    <x:numFmt numFmtId="204" formatCode="0.0"/>
    <x:numFmt numFmtId="205" formatCode="0"/>
    <x:numFmt numFmtId="206" formatCode="0.000x"/>
  </x:numFmts>
  <x:fonts count="15">
    <x:font>
      <x:sz val="11"/>
      <x:name val="Carlito"/>
    </x:font>
    <x:font>
      <x:b/>
      <x:sz val="15"/>
      <x:color rgb="FFFFFFFF"/>
      <x:name val="Carlito"/>
    </x:font>
    <x:font>
      <x:i/>
      <x:sz val="9"/>
      <x:color rgb="FF374151"/>
      <x:name val="Carlito"/>
    </x:font>
    <x:font>
      <x:b/>
      <x:sz val="11"/>
      <x:color rgb="FFFFFFFF"/>
      <x:name val="Carlito"/>
    </x:font>
    <x:font>
      <x:sz val="9"/>
      <x:color rgb="FF374151"/>
      <x:name val="Carlito"/>
    </x:font>
    <x:font>
      <x:sz val="11"/>
      <x:color rgb="FF0000FF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b/>
      <x:sz val="11"/>
      <x:color rgb="FF0000FF"/>
      <x:name val="Carlito"/>
    </x:font>
    <x:font>
      <x:sz val="11"/>
      <x:color rgb="FF008000"/>
      <x:name val="Carlito"/>
    </x:font>
    <x:font>
      <x:b/>
      <x:sz val="17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374151"/>
      <x:name val="Carlito"/>
    </x:font>
    <x:font>
      <x:b/>
      <x:sz val="16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0B1F3A"/>
      </x:patternFill>
    </x:fill>
    <x:fill>
      <x:patternFill patternType="solid">
        <x:fgColor rgb="FFF3F4F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0">
    <x:border/>
    <x:border/>
    <x:border>
      <x:top style="thin">
        <x:color rgb="FF606060"/>
      </x:top>
    </x:border>
    <x:border>
      <x:top style="thin">
        <x:color rgb="FF606060"/>
      </x:top>
    </x:border>
    <x:border>
      <x:top style="thin">
        <x:color rgb="FF808080"/>
      </x:top>
    </x:border>
    <x:border>
      <x:top style="thin">
        <x:color rgb="FF808080"/>
      </x:top>
    </x:border>
    <x:border>
      <x:top style="thin">
        <x:color rgb="FF4B5563"/>
      </x:top>
    </x:border>
    <x:border>
      <x:bottom style="thin">
        <x:color rgb="FF4B5563"/>
      </x:bottom>
    </x:border>
    <x:border>
      <x:top style="thin">
        <x:color rgb="FF4B5563"/>
      </x:top>
    </x:border>
    <x:border>
      <x:bottom style="thin">
        <x:color rgb="FF4B5563"/>
      </x:bottom>
    </x:border>
  </x:borders>
  <x:cellStyleXfs count="1">
    <x:xf numFmtId="0" fontId="0" fillId="0" borderId="0"/>
  </x:cellStyleXfs>
  <x:cellXfs count="2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left"/>
    </x:xf>
    <x:xf numFmtId="0" fontId="1" fillId="3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 applyAlignment="1">
      <x:alignment horizontal="right"/>
    </x:xf>
    <x:xf numFmtId="0" fontId="0" fillId="2" borderId="1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200" fontId="0" fillId="2" borderId="1" xfId="0" applyNumberFormat="1" applyFont="1" applyFill="1" applyBorder="1" applyAlignment="1">
      <x:alignment horizontal="right"/>
    </x:xf>
    <x:xf numFmtId="201" fontId="0" fillId="2" borderId="0" xfId="0" applyNumberFormat="1" applyFont="1" applyFill="1" applyBorder="1" applyAlignment="1">
      <x:alignment horizontal="right"/>
    </x:xf>
    <x:xf numFmtId="201" fontId="0" fillId="2" borderId="1" xfId="0" applyNumberFormat="1" applyFont="1" applyFill="1" applyBorder="1" applyAlignment="1">
      <x:alignment horizontal="right"/>
    </x:xf>
    <x:xf numFmtId="202" fontId="0" fillId="2" borderId="0" xfId="0" applyNumberFormat="1" applyFont="1" applyFill="1" applyBorder="1" applyAlignment="1">
      <x:alignment horizontal="right"/>
    </x:xf>
    <x:xf numFmtId="202" fontId="0" fillId="2" borderId="1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0" fontId="5" fillId="2" borderId="0" xfId="0" applyNumberFormat="1" applyFont="1" applyFill="1" applyBorder="1" applyAlignment="1">
      <x:alignment horizontal="right"/>
    </x:xf>
    <x:xf numFmtId="200" fontId="5" fillId="2" borderId="1" xfId="0" applyNumberFormat="1" applyFont="1" applyFill="1" applyBorder="1" applyAlignment="1">
      <x:alignment horizontal="right"/>
    </x:xf>
    <x:xf numFmtId="201" fontId="5" fillId="2" borderId="0" xfId="0" applyNumberFormat="1" applyFont="1" applyFill="1" applyBorder="1" applyAlignment="1">
      <x:alignment horizontal="right"/>
    </x:xf>
    <x:xf numFmtId="201" fontId="5" fillId="2" borderId="1" xfId="0" applyNumberFormat="1" applyFont="1" applyFill="1" applyBorder="1" applyAlignment="1">
      <x:alignment horizontal="right"/>
    </x:xf>
    <x:xf numFmtId="202" fontId="5" fillId="2" borderId="0" xfId="0" applyNumberFormat="1" applyFont="1" applyFill="1" applyBorder="1" applyAlignment="1">
      <x:alignment horizontal="right"/>
    </x:xf>
    <x:xf numFmtId="202" fontId="5" fillId="2" borderId="1" xfId="0" applyNumberFormat="1" applyFont="1" applyFill="1" applyBorder="1" applyAlignment="1">
      <x:alignment horizontal="right"/>
    </x:xf>
    <x:xf numFmtId="200" fontId="6" fillId="2" borderId="0" xfId="0" applyNumberFormat="1" applyFont="1" applyFill="1" applyBorder="1" applyAlignment="1">
      <x:alignment horizontal="right"/>
    </x:xf>
    <x:xf numFmtId="200" fontId="6" fillId="2" borderId="1" xfId="0" applyNumberFormat="1" applyFont="1" applyFill="1" applyBorder="1" applyAlignment="1">
      <x:alignment horizontal="right"/>
    </x:xf>
    <x:xf numFmtId="202" fontId="6" fillId="2" borderId="0" xfId="0" applyNumberFormat="1" applyFont="1" applyFill="1" applyBorder="1" applyAlignment="1">
      <x:alignment horizontal="right"/>
    </x:xf>
    <x:xf numFmtId="202" fontId="6" fillId="2" borderId="1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right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right"/>
    </x:xf>
    <x:xf numFmtId="0" fontId="7" fillId="5" borderId="0" xfId="0" applyNumberFormat="1" applyFont="1" applyFill="1" applyBorder="1" applyAlignment="1">
      <x:alignment horizontal="left"/>
    </x:xf>
    <x:xf numFmtId="0" fontId="7" fillId="5" borderId="1" xfId="0" applyNumberFormat="1" applyFont="1" applyFill="1" applyBorder="1" applyAlignment="1">
      <x:alignment horizontal="left"/>
    </x:xf>
    <x:xf numFmtId="202" fontId="0" fillId="2" borderId="0" xfId="0" applyNumberFormat="1" applyFont="1" applyFill="1" applyBorder="1"/>
    <x:xf numFmtId="202" fontId="0" fillId="2" borderId="1" xfId="0" applyNumberFormat="1" applyFont="1" applyFill="1" applyBorder="1"/>
    <x:xf numFmtId="202" fontId="5" fillId="2" borderId="0" xfId="0" applyNumberFormat="1" applyFont="1" applyFill="1" applyBorder="1"/>
    <x:xf numFmtId="202" fontId="5" fillId="2" borderId="1" xfId="0" applyNumberFormat="1" applyFont="1" applyFill="1" applyBorder="1"/>
    <x:xf numFmtId="203" fontId="0" fillId="2" borderId="0" xfId="0" applyNumberFormat="1" applyFont="1" applyFill="1" applyBorder="1"/>
    <x:xf numFmtId="203" fontId="0" fillId="2" borderId="1" xfId="0" applyNumberFormat="1" applyFont="1" applyFill="1" applyBorder="1"/>
    <x:xf numFmtId="204" fontId="0" fillId="2" borderId="0" xfId="0" applyNumberFormat="1" applyFont="1" applyFill="1" applyBorder="1"/>
    <x:xf numFmtId="204" fontId="0" fillId="2" borderId="1" xfId="0" applyNumberFormat="1" applyFont="1" applyFill="1" applyBorder="1"/>
    <x:xf numFmtId="203" fontId="5" fillId="2" borderId="0" xfId="0" applyNumberFormat="1" applyFont="1" applyFill="1" applyBorder="1"/>
    <x:xf numFmtId="204" fontId="5" fillId="2" borderId="0" xfId="0" applyNumberFormat="1" applyFont="1" applyFill="1" applyBorder="1"/>
    <x:xf numFmtId="203" fontId="5" fillId="2" borderId="1" xfId="0" applyNumberFormat="1" applyFont="1" applyFill="1" applyBorder="1"/>
    <x:xf numFmtId="204" fontId="5" fillId="2" borderId="1" xfId="0" applyNumberFormat="1" applyFont="1" applyFill="1" applyBorder="1"/>
    <x:xf numFmtId="202" fontId="5" fillId="6" borderId="0" xfId="0" applyNumberFormat="1" applyFont="1" applyFill="1" applyBorder="1"/>
    <x:xf numFmtId="202" fontId="5" fillId="6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5" borderId="0" xfId="0" applyNumberFormat="1" applyFont="1" applyFill="1" applyBorder="1"/>
    <x:xf numFmtId="202" fontId="5" fillId="5" borderId="0" xfId="0" applyNumberFormat="1" applyFont="1" applyFill="1" applyBorder="1"/>
    <x:xf numFmtId="0" fontId="5" fillId="5" borderId="1" xfId="0" applyNumberFormat="1" applyFont="1" applyFill="1" applyBorder="1"/>
    <x:xf numFmtId="202" fontId="5" fillId="5" borderId="1" xfId="0" applyNumberFormat="1" applyFont="1" applyFill="1" applyBorder="1"/>
    <x:xf numFmtId="0" fontId="8" fillId="5" borderId="0" xfId="0" applyNumberFormat="1" applyFont="1" applyFill="1" applyBorder="1"/>
    <x:xf numFmtId="202" fontId="8" fillId="5" borderId="0" xfId="0" applyNumberFormat="1" applyFont="1" applyFill="1" applyBorder="1"/>
    <x:xf numFmtId="0" fontId="8" fillId="5" borderId="1" xfId="0" applyNumberFormat="1" applyFont="1" applyFill="1" applyBorder="1"/>
    <x:xf numFmtId="202" fontId="8" fillId="5" borderId="1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201" fontId="0" fillId="2" borderId="0" xfId="0" applyNumberFormat="1" applyFont="1" applyFill="1" applyBorder="1"/>
    <x:xf numFmtId="201" fontId="0" fillId="2" borderId="1" xfId="0" applyNumberFormat="1" applyFont="1" applyFill="1" applyBorder="1"/>
    <x:xf numFmtId="200" fontId="0" fillId="2" borderId="0" xfId="0" applyNumberFormat="1" applyFont="1" applyFill="1" applyBorder="1"/>
    <x:xf numFmtId="200" fontId="0" fillId="2" borderId="1" xfId="0" applyNumberFormat="1" applyFont="1" applyFill="1" applyBorder="1"/>
    <x:xf numFmtId="205" fontId="0" fillId="2" borderId="0" xfId="0" applyNumberFormat="1" applyFont="1" applyFill="1" applyBorder="1"/>
    <x:xf numFmtId="205" fontId="0" fillId="2" borderId="1" xfId="0" applyNumberFormat="1" applyFont="1" applyFill="1" applyBorder="1"/>
    <x:xf numFmtId="206" fontId="0" fillId="2" borderId="0" xfId="0" applyNumberFormat="1" applyFont="1" applyFill="1" applyBorder="1"/>
    <x:xf numFmtId="206" fontId="0" fillId="2" borderId="1" xfId="0" applyNumberFormat="1" applyFont="1" applyFill="1" applyBorder="1"/>
    <x:xf numFmtId="200" fontId="7" fillId="2" borderId="2" xfId="0" applyNumberFormat="1" applyFont="1" applyFill="1" applyBorder="1"/>
    <x:xf numFmtId="200" fontId="7" fillId="2" borderId="3" xfId="0" applyNumberFormat="1" applyFont="1" applyFill="1" applyBorder="1"/>
    <x:xf numFmtId="200" fontId="0" fillId="2" borderId="2" xfId="0" applyNumberFormat="1" applyFont="1" applyFill="1" applyBorder="1"/>
    <x:xf numFmtId="200" fontId="0" fillId="2" borderId="3" xfId="0" applyNumberFormat="1" applyFont="1" applyFill="1" applyBorder="1"/>
    <x:xf numFmtId="0" fontId="0" fillId="2" borderId="4" xfId="0" applyNumberFormat="1" applyFont="1" applyFill="1" applyBorder="1"/>
    <x:xf numFmtId="200" fontId="0" fillId="2" borderId="4" xfId="0" applyNumberFormat="1" applyFont="1" applyFill="1" applyBorder="1"/>
    <x:xf numFmtId="0" fontId="0" fillId="2" borderId="5" xfId="0" applyNumberFormat="1" applyFont="1" applyFill="1" applyBorder="1"/>
    <x:xf numFmtId="200" fontId="0" fillId="2" borderId="5" xfId="0" applyNumberFormat="1" applyFont="1" applyFill="1" applyBorder="1"/>
    <x:xf numFmtId="201" fontId="9" fillId="2" borderId="0" xfId="0" applyNumberFormat="1" applyFont="1" applyFill="1" applyBorder="1"/>
    <x:xf numFmtId="201" fontId="9" fillId="2" borderId="1" xfId="0" applyNumberFormat="1" applyFont="1" applyFill="1" applyBorder="1"/>
    <x:xf numFmtId="200" fontId="9" fillId="2" borderId="0" xfId="0" applyNumberFormat="1" applyFont="1" applyFill="1" applyBorder="1"/>
    <x:xf numFmtId="200" fontId="9" fillId="2" borderId="1" xfId="0" applyNumberFormat="1" applyFont="1" applyFill="1" applyBorder="1"/>
    <x:xf numFmtId="202" fontId="9" fillId="2" borderId="0" xfId="0" applyNumberFormat="1" applyFont="1" applyFill="1" applyBorder="1"/>
    <x:xf numFmtId="202" fontId="9" fillId="2" borderId="1" xfId="0" applyNumberFormat="1" applyFont="1" applyFill="1" applyBorder="1"/>
    <x:xf numFmtId="200" fontId="9" fillId="2" borderId="4" xfId="0" applyNumberFormat="1" applyFont="1" applyFill="1" applyBorder="1"/>
    <x:xf numFmtId="200" fontId="9" fillId="2" borderId="5" xfId="0" applyNumberFormat="1" applyFont="1" applyFill="1" applyBorder="1"/>
    <x:xf numFmtId="206" fontId="9" fillId="2" borderId="0" xfId="0" applyNumberFormat="1" applyFont="1" applyFill="1" applyBorder="1"/>
    <x:xf numFmtId="206" fontId="9" fillId="2" borderId="1" xfId="0" applyNumberFormat="1" applyFont="1" applyFill="1" applyBorder="1"/>
    <x:xf numFmtId="203" fontId="9" fillId="2" borderId="0" xfId="0" applyNumberFormat="1" applyFont="1" applyFill="1" applyBorder="1"/>
    <x:xf numFmtId="203" fontId="9" fillId="2" borderId="1" xfId="0" applyNumberFormat="1" applyFont="1" applyFill="1" applyBorder="1"/>
    <x:xf numFmtId="201" fontId="6" fillId="2" borderId="0" xfId="0" applyNumberFormat="1" applyFont="1" applyFill="1" applyBorder="1"/>
    <x:xf numFmtId="201" fontId="6" fillId="2" borderId="1" xfId="0" applyNumberFormat="1" applyFont="1" applyFill="1" applyBorder="1"/>
    <x:xf numFmtId="200" fontId="6" fillId="2" borderId="0" xfId="0" applyNumberFormat="1" applyFont="1" applyFill="1" applyBorder="1"/>
    <x:xf numFmtId="200" fontId="6" fillId="2" borderId="1" xfId="0" applyNumberFormat="1" applyFont="1" applyFill="1" applyBorder="1"/>
    <x:xf numFmtId="202" fontId="6" fillId="2" borderId="0" xfId="0" applyNumberFormat="1" applyFont="1" applyFill="1" applyBorder="1"/>
    <x:xf numFmtId="202" fontId="6" fillId="2" borderId="1" xfId="0" applyNumberFormat="1" applyFont="1" applyFill="1" applyBorder="1"/>
    <x:xf numFmtId="200" fontId="6" fillId="2" borderId="4" xfId="0" applyNumberFormat="1" applyFont="1" applyFill="1" applyBorder="1"/>
    <x:xf numFmtId="200" fontId="6" fillId="2" borderId="5" xfId="0" applyNumberFormat="1" applyFont="1" applyFill="1" applyBorder="1"/>
    <x:xf numFmtId="203" fontId="6" fillId="2" borderId="0" xfId="0" applyNumberFormat="1" applyFont="1" applyFill="1" applyBorder="1"/>
    <x:xf numFmtId="203" fontId="6" fillId="2" borderId="1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left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0" fillId="7" borderId="0" xfId="0" applyNumberFormat="1" applyFont="1" applyFill="1" applyBorder="1"/>
    <x:xf numFmtId="200" fontId="9" fillId="7" borderId="0" xfId="0" applyNumberFormat="1" applyFont="1" applyFill="1" applyBorder="1"/>
    <x:xf numFmtId="203" fontId="9" fillId="7" borderId="0" xfId="0" applyNumberFormat="1" applyFont="1" applyFill="1" applyBorder="1"/>
    <x:xf numFmtId="0" fontId="7" fillId="7" borderId="0" xfId="0" applyNumberFormat="1" applyFont="1" applyFill="1" applyBorder="1"/>
    <x:xf numFmtId="200" fontId="7" fillId="7" borderId="0" xfId="0" applyNumberFormat="1" applyFont="1" applyFill="1" applyBorder="1"/>
    <x:xf numFmtId="203" fontId="7" fillId="7" borderId="0" xfId="0" applyNumberFormat="1" applyFont="1" applyFill="1" applyBorder="1"/>
    <x:xf numFmtId="0" fontId="7" fillId="7" borderId="6" xfId="0" applyNumberFormat="1" applyFont="1" applyFill="1" applyBorder="1"/>
    <x:xf numFmtId="200" fontId="7" fillId="7" borderId="6" xfId="0" applyNumberFormat="1" applyFont="1" applyFill="1" applyBorder="1"/>
    <x:xf numFmtId="0" fontId="7" fillId="7" borderId="7" xfId="0" applyNumberFormat="1" applyFont="1" applyFill="1" applyBorder="1"/>
    <x:xf numFmtId="203" fontId="7" fillId="7" borderId="7" xfId="0" applyNumberFormat="1" applyFont="1" applyFill="1" applyBorder="1"/>
    <x:xf numFmtId="0" fontId="0" fillId="7" borderId="1" xfId="0" applyNumberFormat="1" applyFont="1" applyFill="1" applyBorder="1"/>
    <x:xf numFmtId="200" fontId="9" fillId="7" borderId="1" xfId="0" applyNumberFormat="1" applyFont="1" applyFill="1" applyBorder="1"/>
    <x:xf numFmtId="203" fontId="9" fillId="7" borderId="1" xfId="0" applyNumberFormat="1" applyFont="1" applyFill="1" applyBorder="1"/>
    <x:xf numFmtId="0" fontId="7" fillId="7" borderId="1" xfId="0" applyNumberFormat="1" applyFont="1" applyFill="1" applyBorder="1"/>
    <x:xf numFmtId="200" fontId="7" fillId="7" borderId="1" xfId="0" applyNumberFormat="1" applyFont="1" applyFill="1" applyBorder="1"/>
    <x:xf numFmtId="203" fontId="7" fillId="7" borderId="1" xfId="0" applyNumberFormat="1" applyFont="1" applyFill="1" applyBorder="1"/>
    <x:xf numFmtId="0" fontId="7" fillId="7" borderId="8" xfId="0" applyNumberFormat="1" applyFont="1" applyFill="1" applyBorder="1"/>
    <x:xf numFmtId="200" fontId="7" fillId="7" borderId="8" xfId="0" applyNumberFormat="1" applyFont="1" applyFill="1" applyBorder="1"/>
    <x:xf numFmtId="0" fontId="7" fillId="7" borderId="9" xfId="0" applyNumberFormat="1" applyFont="1" applyFill="1" applyBorder="1"/>
    <x:xf numFmtId="203" fontId="7" fillId="7" borderId="9" xfId="0" applyNumberFormat="1" applyFont="1" applyFill="1" applyBorder="1"/>
    <x:xf numFmtId="200" fontId="11" fillId="7" borderId="6" xfId="0" applyNumberFormat="1" applyFont="1" applyFill="1" applyBorder="1"/>
    <x:xf numFmtId="203" fontId="11" fillId="7" borderId="7" xfId="0" applyNumberFormat="1" applyFont="1" applyFill="1" applyBorder="1"/>
    <x:xf numFmtId="200" fontId="11" fillId="7" borderId="8" xfId="0" applyNumberFormat="1" applyFont="1" applyFill="1" applyBorder="1"/>
    <x:xf numFmtId="203" fontId="11" fillId="7" borderId="9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right"/>
    </x:xf>
    <x:xf numFmtId="0" fontId="12" fillId="5" borderId="1" xfId="0" applyNumberFormat="1" applyFont="1" applyFill="1" applyBorder="1"/>
    <x:xf numFmtId="0" fontId="12" fillId="5" borderId="1" xfId="0" applyNumberFormat="1" applyFont="1" applyFill="1" applyBorder="1" applyAlignment="1">
      <x:alignment horizontal="right"/>
    </x:xf>
    <x:xf numFmtId="0" fontId="12" fillId="5" borderId="0" xfId="0" applyNumberFormat="1" applyFont="1" applyFill="1" applyBorder="1" applyAlignment="1">
      <x:alignment horizontal="left"/>
    </x:xf>
    <x:xf numFmtId="0" fontId="12" fillId="5" borderId="1" xfId="0" applyNumberFormat="1" applyFont="1" applyFill="1" applyBorder="1" applyAlignment="1">
      <x:alignment horizontal="left"/>
    </x:xf>
    <x:xf numFmtId="0" fontId="9" fillId="5" borderId="0" xfId="0" applyNumberFormat="1" applyFont="1" applyFill="1" applyBorder="1"/>
    <x:xf numFmtId="202" fontId="9" fillId="5" borderId="0" xfId="0" applyNumberFormat="1" applyFont="1" applyFill="1" applyBorder="1"/>
    <x:xf numFmtId="0" fontId="9" fillId="5" borderId="1" xfId="0" applyNumberFormat="1" applyFont="1" applyFill="1" applyBorder="1"/>
    <x:xf numFmtId="202" fontId="9" fillId="5" borderId="1" xfId="0" applyNumberFormat="1" applyFont="1" applyFill="1" applyBorder="1"/>
    <x:xf numFmtId="203" fontId="9" fillId="6" borderId="0" xfId="0" applyNumberFormat="1" applyFont="1" applyFill="1" applyBorder="1"/>
    <x:xf numFmtId="203" fontId="9" fillId="6" borderId="1" xfId="0" applyNumberFormat="1" applyFont="1" applyFill="1" applyBorder="1"/>
    <x:xf numFmtId="203" fontId="11" fillId="6" borderId="0" xfId="0" applyNumberFormat="1" applyFont="1" applyFill="1" applyBorder="1"/>
    <x:xf numFmtId="203" fontId="11" fillId="6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200" fontId="9" fillId="2" borderId="0" xfId="0" applyNumberFormat="1" applyFont="1" applyFill="1" applyBorder="1" applyAlignment="1">
      <x:alignment vertical="center"/>
    </x:xf>
    <x:xf numFmtId="203" fontId="9" fillId="2" borderId="0" xfId="0" applyNumberFormat="1" applyFont="1" applyFill="1" applyBorder="1" applyAlignment="1">
      <x:alignment vertical="center"/>
    </x:xf>
    <x:xf numFmtId="201" fontId="9" fillId="2" borderId="0" xfId="0" applyNumberFormat="1" applyFont="1" applyFill="1" applyBorder="1" applyAlignment="1">
      <x:alignment vertical="center"/>
    </x:xf>
    <x:xf numFmtId="202" fontId="9" fillId="2" borderId="0" xfId="0" applyNumberFormat="1" applyFont="1" applyFill="1" applyBorder="1" applyAlignment="1">
      <x:alignment vertical="center"/>
    </x:xf>
    <x:xf numFmtId="0" fontId="7" fillId="7" borderId="6" xfId="0" applyNumberFormat="1" applyFont="1" applyFill="1" applyBorder="1" applyAlignment="1">
      <x:alignment vertical="center"/>
    </x:xf>
    <x:xf numFmtId="200" fontId="11" fillId="7" borderId="6" xfId="0" applyNumberFormat="1" applyFont="1" applyFill="1" applyBorder="1" applyAlignment="1">
      <x:alignment vertical="center"/>
    </x:xf>
    <x:xf numFmtId="0" fontId="7" fillId="7" borderId="7" xfId="0" applyNumberFormat="1" applyFont="1" applyFill="1" applyBorder="1" applyAlignment="1">
      <x:alignment vertical="center"/>
    </x:xf>
    <x:xf numFmtId="203" fontId="11" fillId="7" borderId="7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horizontal="left" vertical="center"/>
    </x:xf>
    <x:xf numFmtId="0" fontId="12" fillId="5" borderId="0" xfId="0" applyNumberFormat="1" applyFont="1" applyFill="1" applyBorder="1" applyAlignment="1">
      <x:alignment horizontal="right" vertical="center"/>
    </x:xf>
    <x:xf numFmtId="0" fontId="9" fillId="5" borderId="0" xfId="0" applyNumberFormat="1" applyFont="1" applyFill="1" applyBorder="1" applyAlignment="1">
      <x:alignment vertical="center"/>
    </x:xf>
    <x:xf numFmtId="202" fontId="9" fillId="5" borderId="0" xfId="0" applyNumberFormat="1" applyFont="1" applyFill="1" applyBorder="1" applyAlignment="1">
      <x:alignment vertical="center"/>
    </x:xf>
    <x:xf numFmtId="0" fontId="0" fillId="2" borderId="4" xfId="0" applyNumberFormat="1" applyFont="1" applyFill="1" applyBorder="1" applyAlignment="1">
      <x:alignment vertical="center"/>
    </x:xf>
    <x:xf numFmtId="200" fontId="9" fillId="2" borderId="4" xfId="0" applyNumberFormat="1" applyFont="1" applyFill="1" applyBorder="1" applyAlignment="1">
      <x:alignment vertical="center"/>
    </x:xf>
    <x:xf numFmtId="203" fontId="11" fillId="6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200" fontId="9" fillId="2" borderId="1" xfId="0" applyNumberFormat="1" applyFont="1" applyFill="1" applyBorder="1" applyAlignment="1">
      <x:alignment vertical="center"/>
    </x:xf>
    <x:xf numFmtId="203" fontId="9" fillId="2" borderId="1" xfId="0" applyNumberFormat="1" applyFont="1" applyFill="1" applyBorder="1" applyAlignment="1">
      <x:alignment vertical="center"/>
    </x:xf>
    <x:xf numFmtId="201" fontId="9" fillId="2" borderId="1" xfId="0" applyNumberFormat="1" applyFont="1" applyFill="1" applyBorder="1" applyAlignment="1">
      <x:alignment vertical="center"/>
    </x:xf>
    <x:xf numFmtId="202" fontId="9" fillId="2" borderId="1" xfId="0" applyNumberFormat="1" applyFont="1" applyFill="1" applyBorder="1" applyAlignment="1">
      <x:alignment vertical="center"/>
    </x:xf>
    <x:xf numFmtId="0" fontId="7" fillId="7" borderId="8" xfId="0" applyNumberFormat="1" applyFont="1" applyFill="1" applyBorder="1" applyAlignment="1">
      <x:alignment vertical="center"/>
    </x:xf>
    <x:xf numFmtId="200" fontId="11" fillId="7" borderId="8" xfId="0" applyNumberFormat="1" applyFont="1" applyFill="1" applyBorder="1" applyAlignment="1">
      <x:alignment vertical="center"/>
    </x:xf>
    <x:xf numFmtId="0" fontId="7" fillId="7" borderId="9" xfId="0" applyNumberFormat="1" applyFont="1" applyFill="1" applyBorder="1" applyAlignment="1">
      <x:alignment vertical="center"/>
    </x:xf>
    <x:xf numFmtId="203" fontId="11" fillId="7" borderId="9" xfId="0" applyNumberFormat="1" applyFont="1" applyFill="1" applyBorder="1" applyAlignment="1">
      <x:alignment vertical="center"/>
    </x:xf>
    <x:xf numFmtId="0" fontId="12" fillId="5" borderId="1" xfId="0" applyNumberFormat="1" applyFont="1" applyFill="1" applyBorder="1" applyAlignment="1">
      <x:alignment horizontal="left" vertical="center"/>
    </x:xf>
    <x:xf numFmtId="0" fontId="12" fillId="5" borderId="1" xfId="0" applyNumberFormat="1" applyFont="1" applyFill="1" applyBorder="1" applyAlignment="1">
      <x:alignment horizontal="right" vertical="center"/>
    </x:xf>
    <x:xf numFmtId="0" fontId="9" fillId="5" borderId="1" xfId="0" applyNumberFormat="1" applyFont="1" applyFill="1" applyBorder="1" applyAlignment="1">
      <x:alignment vertical="center"/>
    </x:xf>
    <x:xf numFmtId="202" fontId="9" fillId="5" borderId="1" xfId="0" applyNumberFormat="1" applyFont="1" applyFill="1" applyBorder="1" applyAlignment="1">
      <x:alignment vertical="center"/>
    </x:xf>
    <x:xf numFmtId="0" fontId="0" fillId="2" borderId="5" xfId="0" applyNumberFormat="1" applyFont="1" applyFill="1" applyBorder="1" applyAlignment="1">
      <x:alignment vertical="center"/>
    </x:xf>
    <x:xf numFmtId="200" fontId="9" fillId="2" borderId="5" xfId="0" applyNumberFormat="1" applyFont="1" applyFill="1" applyBorder="1" applyAlignment="1">
      <x:alignment vertical="center"/>
    </x:xf>
    <x:xf numFmtId="203" fontId="11" fillId="6" borderId="1" xfId="0" applyNumberFormat="1" applyFont="1" applyFill="1" applyBorder="1" applyAlignment="1">
      <x:alignment vertical="center"/>
    </x:xf>
    <x:xf numFmtId="0" fontId="12" fillId="5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left" vertical="center"/>
    </x:xf>
    <x:xf numFmtId="0" fontId="7" fillId="5" borderId="0" xfId="0" applyNumberFormat="1" applyFont="1" applyFill="1" applyBorder="1" applyAlignment="1">
      <x:alignment horizontal="right" vertical="center"/>
    </x:xf>
    <x:xf numFmtId="201" fontId="6" fillId="2" borderId="0" xfId="0" applyNumberFormat="1" applyFont="1" applyFill="1" applyBorder="1" applyAlignment="1">
      <x:alignment vertical="center"/>
    </x:xf>
    <x:xf numFmtId="202" fontId="0" fillId="2" borderId="0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vertical="center"/>
    </x:xf>
    <x:xf numFmtId="202" fontId="6" fillId="2" borderId="0" xfId="0" applyNumberFormat="1" applyFont="1" applyFill="1" applyBorder="1" applyAlignment="1">
      <x:alignment vertical="center"/>
    </x:xf>
    <x:xf numFmtId="200" fontId="6" fillId="2" borderId="4" xfId="0" applyNumberFormat="1" applyFont="1" applyFill="1" applyBorder="1" applyAlignment="1">
      <x:alignment vertical="center"/>
    </x:xf>
    <x:xf numFmtId="200" fontId="0" fillId="2" borderId="0" xfId="0" applyNumberFormat="1" applyFont="1" applyFill="1" applyBorder="1" applyAlignment="1">
      <x:alignment vertical="center"/>
    </x:xf>
    <x:xf numFmtId="200" fontId="0" fillId="2" borderId="4" xfId="0" applyNumberFormat="1" applyFont="1" applyFill="1" applyBorder="1" applyAlignment="1">
      <x:alignment vertical="center"/>
    </x:xf>
    <x:xf numFmtId="205" fontId="0" fillId="2" borderId="0" xfId="0" applyNumberFormat="1" applyFont="1" applyFill="1" applyBorder="1" applyAlignment="1">
      <x:alignment vertical="center"/>
    </x:xf>
    <x:xf numFmtId="206" fontId="0" fillId="2" borderId="0" xfId="0" applyNumberFormat="1" applyFont="1" applyFill="1" applyBorder="1" applyAlignment="1">
      <x:alignment vertical="center"/>
    </x:xf>
    <x:xf numFmtId="206" fontId="9" fillId="2" borderId="0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vertical="center"/>
    </x:xf>
    <x:xf numFmtId="200" fontId="7" fillId="2" borderId="2" xfId="0" applyNumberFormat="1" applyFont="1" applyFill="1" applyBorder="1" applyAlignment="1">
      <x:alignment vertical="center"/>
    </x:xf>
    <x:xf numFmtId="203" fontId="6" fillId="2" borderId="0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horizontal="left" vertical="center"/>
    </x:xf>
    <x:xf numFmtId="0" fontId="7" fillId="5" borderId="1" xfId="0" applyNumberFormat="1" applyFont="1" applyFill="1" applyBorder="1" applyAlignment="1">
      <x:alignment horizontal="right" vertical="center"/>
    </x:xf>
    <x:xf numFmtId="201" fontId="6" fillId="2" borderId="1" xfId="0" applyNumberFormat="1" applyFont="1" applyFill="1" applyBorder="1" applyAlignment="1">
      <x:alignment vertical="center"/>
    </x:xf>
    <x:xf numFmtId="202" fontId="0" fillId="2" borderId="1" xfId="0" applyNumberFormat="1" applyFont="1" applyFill="1" applyBorder="1" applyAlignment="1">
      <x:alignment vertical="center"/>
    </x:xf>
    <x:xf numFmtId="200" fontId="6" fillId="2" borderId="1" xfId="0" applyNumberFormat="1" applyFont="1" applyFill="1" applyBorder="1" applyAlignment="1">
      <x:alignment vertical="center"/>
    </x:xf>
    <x:xf numFmtId="202" fontId="6" fillId="2" borderId="1" xfId="0" applyNumberFormat="1" applyFont="1" applyFill="1" applyBorder="1" applyAlignment="1">
      <x:alignment vertical="center"/>
    </x:xf>
    <x:xf numFmtId="200" fontId="6" fillId="2" borderId="5" xfId="0" applyNumberFormat="1" applyFont="1" applyFill="1" applyBorder="1" applyAlignment="1">
      <x:alignment vertical="center"/>
    </x:xf>
    <x:xf numFmtId="200" fontId="0" fillId="2" borderId="1" xfId="0" applyNumberFormat="1" applyFont="1" applyFill="1" applyBorder="1" applyAlignment="1">
      <x:alignment vertical="center"/>
    </x:xf>
    <x:xf numFmtId="200" fontId="0" fillId="2" borderId="5" xfId="0" applyNumberFormat="1" applyFont="1" applyFill="1" applyBorder="1" applyAlignment="1">
      <x:alignment vertical="center"/>
    </x:xf>
    <x:xf numFmtId="205" fontId="0" fillId="2" borderId="1" xfId="0" applyNumberFormat="1" applyFont="1" applyFill="1" applyBorder="1" applyAlignment="1">
      <x:alignment vertical="center"/>
    </x:xf>
    <x:xf numFmtId="206" fontId="0" fillId="2" borderId="1" xfId="0" applyNumberFormat="1" applyFont="1" applyFill="1" applyBorder="1" applyAlignment="1">
      <x:alignment vertical="center"/>
    </x:xf>
    <x:xf numFmtId="206" fontId="9" fillId="2" borderId="1" xfId="0" applyNumberFormat="1" applyFont="1" applyFill="1" applyBorder="1" applyAlignment="1">
      <x:alignment vertical="center"/>
    </x:xf>
    <x:xf numFmtId="0" fontId="7" fillId="2" borderId="3" xfId="0" applyNumberFormat="1" applyFont="1" applyFill="1" applyBorder="1" applyAlignment="1">
      <x:alignment vertical="center"/>
    </x:xf>
    <x:xf numFmtId="200" fontId="7" fillId="2" borderId="3" xfId="0" applyNumberFormat="1" applyFont="1" applyFill="1" applyBorder="1" applyAlignment="1">
      <x:alignment vertical="center"/>
    </x:xf>
    <x:xf numFmtId="203" fontId="6" fillId="2" borderId="1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horizontal="right" vertical="center"/>
    </x:xf>
    <x:xf numFmtId="200" fontId="6" fillId="2" borderId="0" xfId="0" applyNumberFormat="1" applyFont="1" applyFill="1" applyBorder="1" applyAlignment="1">
      <x:alignment horizontal="right" vertical="center"/>
    </x:xf>
    <x:xf numFmtId="202" fontId="6" fillId="2" borderId="0" xfId="0" applyNumberFormat="1" applyFont="1" applyFill="1" applyBorder="1" applyAlignment="1">
      <x:alignment horizontal="right" vertical="center"/>
    </x:xf>
    <x:xf numFmtId="202" fontId="5" fillId="2" borderId="0" xfId="0" applyNumberFormat="1" applyFont="1" applyFill="1" applyBorder="1" applyAlignment="1">
      <x:alignment horizontal="right" vertical="center"/>
    </x:xf>
    <x:xf numFmtId="202" fontId="5" fillId="2" borderId="0" xfId="0" applyNumberFormat="1" applyFont="1" applyFill="1" applyBorder="1" applyAlignment="1">
      <x:alignment vertical="center"/>
    </x:xf>
    <x:xf numFmtId="203" fontId="5" fillId="2" borderId="0" xfId="0" applyNumberFormat="1" applyFont="1" applyFill="1" applyBorder="1" applyAlignment="1">
      <x:alignment vertical="center"/>
    </x:xf>
    <x:xf numFmtId="202" fontId="5" fillId="6" borderId="0" xfId="0" applyNumberFormat="1" applyFont="1" applyFill="1" applyBorder="1" applyAlignment="1">
      <x:alignment vertical="center"/>
    </x:xf>
    <x:xf numFmtId="204" fontId="5" fillId="2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2" fontId="8" fillId="5" borderId="0" xfId="0" applyNumberFormat="1" applyFont="1" applyFill="1" applyBorder="1" applyAlignment="1">
      <x:alignment vertical="center"/>
    </x:xf>
    <x:xf numFmtId="202" fontId="5" fillId="5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5" fillId="2" borderId="1" xfId="0" applyNumberFormat="1" applyFont="1" applyFill="1" applyBorder="1" applyAlignment="1">
      <x:alignment horizontal="right" vertical="center"/>
    </x:xf>
    <x:xf numFmtId="0" fontId="4" fillId="2" borderId="1" xfId="0" applyNumberFormat="1" applyFont="1" applyFill="1" applyBorder="1" applyAlignment="1">
      <x:alignment vertical="center"/>
    </x:xf>
    <x:xf numFmtId="201" fontId="5" fillId="2" borderId="1" xfId="0" applyNumberFormat="1" applyFont="1" applyFill="1" applyBorder="1" applyAlignment="1">
      <x:alignment horizontal="right" vertical="center"/>
    </x:xf>
    <x:xf numFmtId="200" fontId="6" fillId="2" borderId="1" xfId="0" applyNumberFormat="1" applyFont="1" applyFill="1" applyBorder="1" applyAlignment="1">
      <x:alignment horizontal="right" vertical="center"/>
    </x:xf>
    <x:xf numFmtId="202" fontId="6" fillId="2" borderId="1" xfId="0" applyNumberFormat="1" applyFont="1" applyFill="1" applyBorder="1" applyAlignment="1">
      <x:alignment horizontal="right" vertical="center"/>
    </x:xf>
    <x:xf numFmtId="202" fontId="5" fillId="2" borderId="1" xfId="0" applyNumberFormat="1" applyFont="1" applyFill="1" applyBorder="1" applyAlignment="1">
      <x:alignment horizontal="right" vertical="center"/>
    </x:xf>
    <x:xf numFmtId="202" fontId="5" fillId="2" borderId="1" xfId="0" applyNumberFormat="1" applyFont="1" applyFill="1" applyBorder="1" applyAlignment="1">
      <x:alignment vertical="center"/>
    </x:xf>
    <x:xf numFmtId="203" fontId="5" fillId="2" borderId="1" xfId="0" applyNumberFormat="1" applyFont="1" applyFill="1" applyBorder="1" applyAlignment="1">
      <x:alignment vertical="center"/>
    </x:xf>
    <x:xf numFmtId="202" fontId="5" fillId="6" borderId="1" xfId="0" applyNumberFormat="1" applyFont="1" applyFill="1" applyBorder="1" applyAlignment="1">
      <x:alignment vertical="center"/>
    </x:xf>
    <x:xf numFmtId="204" fontId="5" fillId="2" borderId="1" xfId="0" applyNumberFormat="1" applyFont="1" applyFill="1" applyBorder="1" applyAlignment="1">
      <x:alignment vertical="center"/>
    </x:xf>
    <x:xf numFmtId="0" fontId="8" fillId="5" borderId="1" xfId="0" applyNumberFormat="1" applyFont="1" applyFill="1" applyBorder="1" applyAlignment="1">
      <x:alignment vertical="center"/>
    </x:xf>
    <x:xf numFmtId="202" fontId="8" fillId="5" borderId="1" xfId="0" applyNumberFormat="1" applyFont="1" applyFill="1" applyBorder="1" applyAlignment="1">
      <x:alignment vertical="center"/>
    </x:xf>
    <x:xf numFmtId="202" fontId="5" fillId="5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13" fillId="5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2" borderId="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/>
    <x:xf numFmtId="204" fontId="9" fillId="0" borderId="0" xfId="0" applyNumberFormat="1" applyFont="1" applyFill="1" applyBorder="1"/>
    <x:xf numFmtId="204" fontId="9" fillId="0" borderId="1" xfId="0" applyNumberFormat="1" applyFont="1" applyFill="1" applyBorder="1"/>
    <x:xf numFmtId="200" fontId="9" fillId="0" borderId="0" xfId="0" applyNumberFormat="1" applyFont="1" applyFill="1" applyBorder="1"/>
    <x:xf numFmtId="200" fontId="9" fillId="0" borderId="1" xfId="0" applyNumberFormat="1" applyFont="1" applyFill="1" applyBorder="1"/>
    <x:xf numFmtId="0" fontId="14" fillId="3" borderId="0" xfId="0" applyNumberFormat="1" applyFont="1" applyFill="1" applyBorder="1" applyAlignment="1">
      <x:alignment horizontal="left" vertical="center"/>
    </x:xf>
    <x:xf numFmtId="0" fontId="14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211aaf35c4faa" /><Relationship Type="http://schemas.openxmlformats.org/officeDocument/2006/relationships/theme" Target="/xl/theme/theme1.xml" Id="Rdbd4ee1f87974077" /><Relationship Type="http://schemas.openxmlformats.org/officeDocument/2006/relationships/sharedStrings" Target="/xl/sharedStrings.xml" Id="R0e030d391fc14eb6" /><Relationship Type="http://schemas.openxmlformats.org/officeDocument/2006/relationships/worksheet" Target="/xl/worksheets/sheet1.xml" Id="R9014a8f5ff1a44bb" /><Relationship Type="http://schemas.openxmlformats.org/officeDocument/2006/relationships/worksheet" Target="/xl/worksheets/sheet2.xml" Id="R345b9433a2c9413f" /><Relationship Type="http://schemas.openxmlformats.org/officeDocument/2006/relationships/worksheet" Target="/xl/worksheets/sheet3.xml" Id="R47d9222b461744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3b86b46c0c42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&amp; EBITDA Development</a:t>
            </a:r>
          </a:p>
        </c:rich>
      </c:tx>
    </c:title>
    <c:plotArea>
      <c:lineChart>
        <c:grouping val="standard"/>
        <c:ser>
          <c:idx val="0"/>
          <c:order val="0"/>
          <c:tx>
            <c:v>Revenue (€m)</c:v>
          </c:tx>
          <c:marker>
            <c:symbol val="none"/>
          </c:marker>
          <c:cat>
            <c:strRef>
              <c:f>'Exit Calculator'!$H$26:$H$30</c:f>
              <c:strCache>
                <c:ptCount val="0"/>
              </c:strCache>
            </c:strRef>
          </c:cat>
          <c:val>
            <c:numRef>
              <c:f>'Exit Calculator'!$I$26:$I$30</c:f>
              <c:numCache>
                <c:formatCode>#,##0.0;[Red](#,##0.0);-</c:formatCode>
                <c:ptCount val="0"/>
              </c:numCache>
            </c:numRef>
          </c:val>
        </c:ser>
        <c:ser>
          <c:idx val="1"/>
          <c:order val="1"/>
          <c:tx>
            <c:v>EBITDA (€m)</c:v>
          </c:tx>
          <c:marker>
            <c:symbol val="none"/>
          </c:marker>
          <c:cat>
            <c:strRef>
              <c:f>'Exit Calculator'!$H$26:$H$30</c:f>
              <c:strCache>
                <c:ptCount val="0"/>
              </c:strCache>
            </c:strRef>
          </c:cat>
          <c:val>
            <c:numRef>
              <c:f>'Exit Calculator'!$J$26:$J$30</c:f>
              <c:numCache>
                <c:formatCode>#,##0.0;[Red](#,##0.0);-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24</xdr:row>
      <xdr:rowOff>0</xdr:rowOff>
    </xdr:from>
    <xdr:to>
      <xdr:col>13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3b86b46c0c420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1dd3772e7d4bea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3" hidden="0" customWidth="1"/>
    <x:col min="8" max="8" width="27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</x:cols>
  <x:sheetData>
    <x:row r="1" ht="30" customHeight="1">
      <x:c r="A1" s="274" t="str">
        <x:v>M&amp;A Exit / PE Backsolve Calculator</x:v>
      </x:c>
      <x:c r="B1" s="164"/>
      <x:c r="C1" s="164"/>
      <x:c r="D1" s="164"/>
      <x:c r="E1" s="164"/>
      <x:c r="F1" s="164"/>
      <x:c r="G1" s="164"/>
      <x:c r="H1" s="164"/>
      <x:c r="I1" s="164"/>
      <x:c r="J1" s="164"/>
      <x:c r="K1" s="164"/>
      <x:c r="L1" s="164"/>
      <x:c r="M1" s="164"/>
      <x:c r="N1" s="164"/>
    </x:row>
    <x:row r="2">
      <x:c r="A2" s="165" t="str">
        <x:v>Plan operating performance to 2030, derive a terminal DCF exit value, then backsolve the maximum PE purchase price at the required return.</x:v>
      </x:c>
      <x:c r="B2" s="165"/>
      <x:c r="C2" s="165"/>
      <x:c r="D2" s="165"/>
      <x:c r="E2" s="165"/>
      <x:c r="F2" s="165"/>
      <x:c r="G2" s="165"/>
      <x:c r="H2" s="165"/>
      <x:c r="I2" s="165"/>
      <x:c r="J2" s="165"/>
      <x:c r="K2" s="165"/>
      <x:c r="L2" s="165"/>
      <x:c r="M2" s="165"/>
      <x:c r="N2" s="165"/>
    </x:row>
    <x:row r="3">
      <x:c r="A3" s="166"/>
      <x:c r="B3" s="166"/>
      <x:c r="C3" s="166"/>
      <x:c r="D3" s="166"/>
      <x:c r="E3" s="166"/>
      <x:c r="F3" s="166"/>
      <x:c r="G3" s="166"/>
      <x:c r="H3" s="166"/>
      <x:c r="I3" s="166"/>
      <x:c r="J3" s="166"/>
      <x:c r="K3" s="166"/>
      <x:c r="L3" s="166"/>
      <x:c r="M3" s="166"/>
      <x:c r="N3" s="166"/>
    </x:row>
    <x:row r="4" ht="21" customHeight="1">
      <x:c r="A4" s="17" t="str">
        <x:v>Key Inputs</x:v>
      </x:c>
      <x:c r="B4" s="17"/>
      <x:c r="C4" s="166"/>
      <x:c r="D4" s="17" t="str">
        <x:v>2030 Operating Case</x:v>
      </x:c>
      <x:c r="E4" s="17"/>
      <x:c r="F4" s="17"/>
      <x:c r="G4" s="166"/>
      <x:c r="H4" s="17" t="str">
        <x:v>Valuation &amp; PE Backsolve</x:v>
      </x:c>
      <x:c r="I4" s="17"/>
      <x:c r="J4" s="17"/>
      <x:c r="K4" s="17"/>
      <x:c r="L4" s="166"/>
      <x:c r="M4" s="166"/>
      <x:c r="N4" s="166"/>
    </x:row>
    <x:row r="5">
      <x:c r="A5" s="166" t="str">
        <x:v>Revenue 2026 (€m)</x:v>
      </x:c>
      <x:c r="B5" s="167" t="n">
        <x:f>Assumptions!B5</x:f>
        <x:v>14</x:v>
      </x:c>
      <x:c r="C5" s="166"/>
      <x:c r="D5" s="166" t="str">
        <x:v>Revenue 2030 (€m)</x:v>
      </x:c>
      <x:c r="E5" s="167"/>
      <x:c r="F5" s="167" t="n">
        <x:f>'Operating Model'!F9</x:f>
        <x:v>24.062041601934347</x:v>
      </x:c>
      <x:c r="G5" s="166"/>
      <x:c r="H5" s="166" t="str">
        <x:v>2030 Exit EV (€m)</x:v>
      </x:c>
      <x:c r="I5" s="167" t="n">
        <x:f>'Operating Model'!F46</x:f>
        <x:v>120.30383332011351</x:v>
      </x:c>
      <x:c r="J5" s="166"/>
      <x:c r="K5" s="166"/>
      <x:c r="L5" s="166"/>
      <x:c r="M5" s="166"/>
      <x:c r="N5" s="166"/>
    </x:row>
    <x:row r="6">
      <x:c r="A6" s="166" t="str">
        <x:v>EBITDA 2026 (€m)</x:v>
      </x:c>
      <x:c r="B6" s="167" t="n">
        <x:f>Assumptions!B6</x:f>
        <x:v>7</x:v>
      </x:c>
      <x:c r="C6" s="166"/>
      <x:c r="D6" s="166" t="str">
        <x:v>EBITDA 2030 (€m)</x:v>
      </x:c>
      <x:c r="E6" s="167"/>
      <x:c r="F6" s="167" t="n">
        <x:f>'Operating Model'!F18</x:f>
        <x:v>14.560992862239988</x:v>
      </x:c>
      <x:c r="G6" s="166"/>
      <x:c r="H6" s="166" t="str">
        <x:v>2030 Exit EV / EBITDA</x:v>
      </x:c>
      <x:c r="I6" s="168" t="n">
        <x:f>'Operating Model'!F53</x:f>
        <x:v>8.262062515811616</x:v>
      </x:c>
      <x:c r="J6" s="166"/>
      <x:c r="K6" s="166"/>
      <x:c r="L6" s="166"/>
      <x:c r="M6" s="166"/>
      <x:c r="N6" s="166"/>
    </x:row>
    <x:row r="7">
      <x:c r="A7" s="166" t="str">
        <x:v>Customers 2026 (#)</x:v>
      </x:c>
      <x:c r="B7" s="169" t="n">
        <x:f>Assumptions!B7</x:f>
        <x:v>600</x:v>
      </x:c>
      <x:c r="C7" s="166"/>
      <x:c r="D7" s="166" t="str">
        <x:v>EBITDA margin 2030</x:v>
      </x:c>
      <x:c r="E7" s="170"/>
      <x:c r="F7" s="170" t="n">
        <x:f>'Operating Model'!F19</x:f>
        <x:v>0.6051436990728762</x:v>
      </x:c>
      <x:c r="G7" s="166"/>
      <x:c r="H7" s="166" t="str">
        <x:v>2030 Exit debt (€m)</x:v>
      </x:c>
      <x:c r="I7" s="167" t="n">
        <x:f>'Operating Model'!F47</x:f>
        <x:v>1.5238873889188014</x:v>
      </x:c>
      <x:c r="J7" s="166"/>
      <x:c r="K7" s="166"/>
      <x:c r="L7" s="166"/>
      <x:c r="M7" s="166"/>
      <x:c r="N7" s="166"/>
    </x:row>
    <x:row r="8">
      <x:c r="A8" s="166" t="str">
        <x:v>Entry leverage</x:v>
      </x:c>
      <x:c r="B8" s="168" t="n">
        <x:f>Assumptions!B30</x:f>
        <x:v>4</x:v>
      </x:c>
      <x:c r="C8" s="166"/>
      <x:c r="D8" s="166" t="str">
        <x:v>Customers 2030 (#)</x:v>
      </x:c>
      <x:c r="E8" s="169"/>
      <x:c r="F8" s="169" t="n">
        <x:f>'Operating Model'!F5</x:f>
        <x:v>894.3580800000004</x:v>
      </x:c>
      <x:c r="G8" s="166"/>
      <x:c r="H8" s="166" t="str">
        <x:v>2030 Exit equity value (€m)</x:v>
      </x:c>
      <x:c r="I8" s="167" t="n">
        <x:f>'Operating Model'!F48</x:f>
        <x:v>118.7799459311947</x:v>
      </x:c>
      <x:c r="J8" s="166"/>
      <x:c r="K8" s="166"/>
      <x:c r="L8" s="166"/>
      <x:c r="M8" s="166"/>
      <x:c r="N8" s="166"/>
    </x:row>
    <x:row r="9">
      <x:c r="A9" s="166" t="str">
        <x:v>Cash interest rate</x:v>
      </x:c>
      <x:c r="B9" s="170" t="n">
        <x:f>Assumptions!B31</x:f>
        <x:v>0.06</x:v>
      </x:c>
      <x:c r="C9" s="166"/>
      <x:c r="D9" s="166" t="str">
        <x:v>ARPU 2030 (€k p.a.)</x:v>
      </x:c>
      <x:c r="E9" s="167"/>
      <x:c r="F9" s="167" t="n">
        <x:f>'Operating Model'!F7</x:f>
        <x:v>26.9042592</x:v>
      </x:c>
      <x:c r="G9" s="166"/>
      <x:c r="H9" s="166" t="str">
        <x:v>Max. 2026 entry equity (€m)</x:v>
      </x:c>
      <x:c r="I9" s="167" t="n">
        <x:f>'Operating Model'!F49</x:f>
        <x:v>48.65226585341735</x:v>
      </x:c>
      <x:c r="J9" s="166"/>
      <x:c r="K9" s="166"/>
      <x:c r="L9" s="166"/>
      <x:c r="M9" s="166"/>
      <x:c r="N9" s="166"/>
    </x:row>
    <x:row r="10">
      <x:c r="A10" s="166" t="str">
        <x:v>Target equity IRR</x:v>
      </x:c>
      <x:c r="B10" s="170" t="n">
        <x:f>Assumptions!B32</x:f>
        <x:v>0.25</x:v>
      </x:c>
      <x:c r="C10" s="166"/>
      <x:c r="D10" s="166"/>
      <x:c r="E10" s="166"/>
      <x:c r="F10" s="166"/>
      <x:c r="G10" s="166"/>
      <x:c r="H10" s="171" t="str">
        <x:v>Max. 2026 purchase EV (€m)</x:v>
      </x:c>
      <x:c r="I10" s="172" t="n">
        <x:f>'Operating Model'!F50</x:f>
        <x:v>76.65226585341735</x:v>
      </x:c>
      <x:c r="J10" s="166"/>
      <x:c r="K10" s="166"/>
      <x:c r="L10" s="166"/>
      <x:c r="M10" s="166"/>
      <x:c r="N10" s="166"/>
    </x:row>
    <x:row r="11">
      <x:c r="A11" s="166" t="str">
        <x:v>WACC at exit</x:v>
      </x:c>
      <x:c r="B11" s="170" t="n">
        <x:f>Assumptions!B26</x:f>
        <x:v>0.1</x:v>
      </x:c>
      <x:c r="C11" s="166"/>
      <x:c r="D11" s="166"/>
      <x:c r="E11" s="166"/>
      <x:c r="F11" s="166"/>
      <x:c r="G11" s="166"/>
      <x:c r="H11" s="173" t="str">
        <x:v>Max. entry EV / EBITDA</x:v>
      </x:c>
      <x:c r="I11" s="174" t="n">
        <x:f>'Operating Model'!F51</x:f>
        <x:v>10.950323693345336</x:v>
      </x:c>
      <x:c r="J11" s="166"/>
      <x:c r="K11" s="166"/>
      <x:c r="L11" s="166"/>
      <x:c r="M11" s="166"/>
      <x:c r="N11" s="166"/>
    </x:row>
    <x:row r="12">
      <x:c r="A12" s="166" t="str">
        <x:v>Terminal growth</x:v>
      </x:c>
      <x:c r="B12" s="170" t="n">
        <x:f>Assumptions!B27</x:f>
        <x:v>0.02</x:v>
      </x:c>
      <x:c r="C12" s="166"/>
      <x:c r="D12" s="166"/>
      <x:c r="E12" s="166"/>
      <x:c r="F12" s="166"/>
      <x:c r="G12" s="166"/>
      <x:c r="H12" s="166" t="str">
        <x:v>Implied equity MOIC</x:v>
      </x:c>
      <x:c r="I12" s="168" t="n">
        <x:f>'Operating Model'!F52</x:f>
        <x:v>2.44140625</x:v>
      </x:c>
      <x:c r="J12" s="166"/>
      <x:c r="K12" s="166"/>
      <x:c r="L12" s="166"/>
      <x:c r="M12" s="166"/>
      <x:c r="N12" s="166"/>
    </x:row>
    <x:row r="13">
      <x:c r="A13" s="166"/>
      <x:c r="B13" s="166"/>
      <x:c r="C13" s="166"/>
      <x:c r="D13" s="166"/>
      <x:c r="E13" s="166"/>
      <x:c r="F13" s="166"/>
      <x:c r="G13" s="166"/>
      <x:c r="H13" s="166" t="str">
        <x:v>DCF EV as of 2026 (€m)</x:v>
      </x:c>
      <x:c r="I13" s="167" t="n">
        <x:f>'Operating Model'!F36</x:f>
        <x:v>105.32005332759921</x:v>
      </x:c>
      <x:c r="J13" s="166"/>
      <x:c r="K13" s="166"/>
      <x:c r="L13" s="166"/>
      <x:c r="M13" s="166"/>
      <x:c r="N13" s="166"/>
    </x:row>
    <x:row r="14">
      <x:c r="A14" s="166"/>
      <x:c r="B14" s="166"/>
      <x:c r="C14" s="166"/>
      <x:c r="D14" s="166"/>
      <x:c r="E14" s="166"/>
      <x:c r="F14" s="166"/>
      <x:c r="G14" s="166"/>
      <x:c r="H14" s="166" t="str">
        <x:v>Entry debt (€m)</x:v>
      </x:c>
      <x:c r="I14" s="167" t="n">
        <x:f>'Operating Model'!B44</x:f>
        <x:v>28</x:v>
      </x:c>
      <x:c r="J14" s="166"/>
      <x:c r="K14" s="166"/>
      <x:c r="L14" s="166"/>
      <x:c r="M14" s="166"/>
      <x:c r="N14" s="166"/>
    </x:row>
    <x:row r="15">
      <x:c r="A15" s="166"/>
      <x:c r="B15" s="166"/>
      <x:c r="C15" s="166"/>
      <x:c r="D15" s="166"/>
      <x:c r="E15" s="166"/>
      <x:c r="F15" s="166"/>
      <x:c r="G15" s="166"/>
      <x:c r="H15" s="166"/>
      <x:c r="I15" s="166"/>
      <x:c r="J15" s="166"/>
      <x:c r="K15" s="166"/>
      <x:c r="L15" s="166"/>
      <x:c r="M15" s="166"/>
      <x:c r="N15" s="166"/>
    </x:row>
    <x:row r="16" ht="21" customHeight="1">
      <x:c r="A16" s="17" t="str">
        <x:v>Operating Plan 2026-2030</x:v>
      </x:c>
      <x:c r="B16" s="17"/>
      <x:c r="C16" s="17"/>
      <x:c r="D16" s="17"/>
      <x:c r="E16" s="17"/>
      <x:c r="F16" s="17"/>
      <x:c r="G16" s="166"/>
      <x:c r="H16" s="17" t="str">
        <x:v>Sensitivity: Maximum Entry EV / EBITDA</x:v>
      </x:c>
      <x:c r="I16" s="17"/>
      <x:c r="J16" s="17"/>
      <x:c r="K16" s="17"/>
      <x:c r="L16" s="17"/>
      <x:c r="M16" s="17"/>
      <x:c r="N16" s="166"/>
    </x:row>
    <x:row r="17">
      <x:c r="A17" s="175" t="str">
        <x:v>Metric</x:v>
      </x:c>
      <x:c r="B17" s="176" t="n">
        <x:v>2026</x:v>
      </x:c>
      <x:c r="C17" s="176" t="n">
        <x:v>2027</x:v>
      </x:c>
      <x:c r="D17" s="176" t="n">
        <x:v>2028</x:v>
      </x:c>
      <x:c r="E17" s="176" t="n">
        <x:v>2029</x:v>
      </x:c>
      <x:c r="F17" s="176" t="n">
        <x:v>2030</x:v>
      </x:c>
      <x:c r="G17" s="166"/>
      <x:c r="H17" s="177" t="str">
        <x:v>Target IRR \ Exit WACC</x:v>
      </x:c>
      <x:c r="I17" s="178" t="n">
        <x:f>Assumptions!B37</x:f>
        <x:v>0.08</x:v>
      </x:c>
      <x:c r="J17" s="178" t="n">
        <x:f>Assumptions!C37</x:f>
        <x:v>0.09</x:v>
      </x:c>
      <x:c r="K17" s="178" t="n">
        <x:f>Assumptions!D37</x:f>
        <x:v>0.1</x:v>
      </x:c>
      <x:c r="L17" s="178" t="n">
        <x:f>Assumptions!E37</x:f>
        <x:v>0.11</x:v>
      </x:c>
      <x:c r="M17" s="178" t="n">
        <x:f>Assumptions!F37</x:f>
        <x:v>0.12</x:v>
      </x:c>
      <x:c r="N17" s="166"/>
    </x:row>
    <x:row r="18">
      <x:c r="A18" s="166" t="str">
        <x:v>Revenue (€m)</x:v>
      </x:c>
      <x:c r="B18" s="167" t="n">
        <x:f>'Operating Model'!B9</x:f>
        <x:v>14</x:v>
      </x:c>
      <x:c r="C18" s="167" t="n">
        <x:f>'Operating Model'!C9</x:f>
        <x:v>16.3072</x:v>
      </x:c>
      <x:c r="D18" s="167" t="n">
        <x:f>'Operating Model'!D9</x:f>
        <x:v>18.825031680000002</x:v>
      </x:c>
      <x:c r="E18" s="167" t="n">
        <x:f>'Operating Model'!E9</x:f>
        <x:v>21.432298567680004</x:v>
      </x:c>
      <x:c r="F18" s="167" t="n">
        <x:f>'Operating Model'!F9</x:f>
        <x:v>24.062041601934347</x:v>
      </x:c>
      <x:c r="G18" s="166"/>
      <x:c r="H18" s="178" t="n">
        <x:f>Assumptions!A38</x:f>
        <x:v>0.2</x:v>
      </x:c>
      <x:c r="I18" s="168" t="n">
        <x:f>($I$44+(($I$42*(1+$I$45)/(I$17-$I$45)-$I$43)/(1+$H18)^$I$46))/$I$47</x:f>
        <x:v>14.94585150081059</x:v>
      </x:c>
      <x:c r="J18" s="168" t="n">
        <x:f>($I$44+(($I$42*(1+$I$45)/(J$17-$I$45)-$I$43)/(1+$H18)^$I$46))/$I$47</x:f>
        <x:v>13.367160482395564</x:v>
      </x:c>
      <x:c r="K18" s="168" t="n">
        <x:f>($I$44+(($I$42*(1+$I$45)/(K$17-$I$45)-$I$43)/(1+$H18)^$I$46))/$I$47</x:f>
        <x:v>12.183142218584292</x:v>
      </x:c>
      <x:c r="L18" s="168" t="n">
        <x:f>($I$44+(($I$42*(1+$I$45)/(L$17-$I$45)-$I$43)/(1+$H18)^$I$46))/$I$47</x:f>
        <x:v>11.262239124508861</x:v>
      </x:c>
      <x:c r="M18" s="168" t="n">
        <x:f>($I$44+(($I$42*(1+$I$45)/(M$17-$I$45)-$I$43)/(1+$H18)^$I$46))/$I$47</x:f>
        <x:v>10.525516649248514</x:v>
      </x:c>
      <x:c r="N18" s="166"/>
    </x:row>
    <x:row r="19">
      <x:c r="A19" s="179" t="str">
        <x:v>EBITDA (€m)</x:v>
      </x:c>
      <x:c r="B19" s="180" t="n">
        <x:f>'Operating Model'!B18</x:f>
        <x:v>7</x:v>
      </x:c>
      <x:c r="C19" s="180" t="n">
        <x:f>'Operating Model'!C18</x:f>
        <x:v>8.6156</x:v>
      </x:c>
      <x:c r="D19" s="180" t="n">
        <x:f>'Operating Model'!D18</x:f>
        <x:v>10.566056788000001</x:v>
      </x:c>
      <x:c r="E19" s="180" t="n">
        <x:f>'Operating Model'!E18</x:f>
        <x:v>12.599813274720002</x:v>
      </x:c>
      <x:c r="F19" s="180" t="n">
        <x:f>'Operating Model'!F18</x:f>
        <x:v>14.560992862239988</x:v>
      </x:c>
      <x:c r="G19" s="166"/>
      <x:c r="H19" s="178" t="n">
        <x:f>Assumptions!A39</x:f>
        <x:v>0.225</x:v>
      </x:c>
      <x:c r="I19" s="168" t="n">
        <x:f>($I$44+(($I$42*(1+$I$45)/(I$17-$I$45)-$I$43)/(1+$H19)^$I$46))/$I$47</x:f>
        <x:v>14.07929558028576</x:v>
      </x:c>
      <x:c r="J19" s="168" t="n">
        <x:f>($I$44+(($I$42*(1+$I$45)/(J$17-$I$45)-$I$43)/(1+$H19)^$I$46))/$I$47</x:f>
        <x:v>12.625585615065692</x:v>
      </x:c>
      <x:c r="K19" s="168" t="n">
        <x:f>($I$44+(($I$42*(1+$I$45)/(K$17-$I$45)-$I$43)/(1+$H19)^$I$46))/$I$47</x:f>
        <x:v>11.535303141150637</x:v>
      </x:c>
      <x:c r="L19" s="168" t="n">
        <x:f>($I$44+(($I$42*(1+$I$45)/(L$17-$I$45)-$I$43)/(1+$H19)^$I$46))/$I$47</x:f>
        <x:v>10.68730566143893</x:v>
      </x:c>
      <x:c r="M19" s="168" t="n">
        <x:f>($I$44+(($I$42*(1+$I$45)/(M$17-$I$45)-$I$43)/(1+$H19)^$I$46))/$I$47</x:f>
        <x:v>10.008907677669566</x:v>
      </x:c>
      <x:c r="N19" s="166"/>
    </x:row>
    <x:row r="20">
      <x:c r="A20" s="166" t="str">
        <x:v>EBITDA margin</x:v>
      </x:c>
      <x:c r="B20" s="170" t="n">
        <x:f>'Operating Model'!B19</x:f>
        <x:v>0.5</x:v>
      </x:c>
      <x:c r="C20" s="170" t="n">
        <x:f>'Operating Model'!C19</x:f>
        <x:v>0.5283310439560439</x:v>
      </x:c>
      <x:c r="D20" s="170" t="n">
        <x:f>'Operating Model'!D19</x:f>
        <x:v>0.5612769724698811</x:v>
      </x:c>
      <x:c r="E20" s="170" t="n">
        <x:f>'Operating Model'!E19</x:f>
        <x:v>0.5878890327573438</x:v>
      </x:c>
      <x:c r="F20" s="170" t="n">
        <x:f>'Operating Model'!F19</x:f>
        <x:v>0.6051436990728762</x:v>
      </x:c>
      <x:c r="G20" s="166"/>
      <x:c r="H20" s="178" t="n">
        <x:f>Assumptions!A40</x:f>
        <x:v>0.25</x:v>
      </x:c>
      <x:c r="I20" s="168" t="n">
        <x:f>($I$44+(($I$42*(1+$I$45)/(I$17-$I$45)-$I$43)/(1+$H20)^$I$46))/$I$47</x:f>
        <x:v>13.29682131848431</x:v>
      </x:c>
      <x:c r="J20" s="168" t="n">
        <x:f>($I$44+(($I$42*(1+$I$45)/(J$17-$I$45)-$I$43)/(1+$H20)^$I$46))/$I$47</x:f>
        <x:v>11.955965532690612</x:v>
      </x:c>
      <x:c r="K20" s="181" t="n">
        <x:f>($I$44+(($I$42*(1+$I$45)/(K$17-$I$45)-$I$43)/(1+$H20)^$I$46))/$I$47</x:f>
        <x:v>10.950323693345336</x:v>
      </x:c>
      <x:c r="L20" s="168" t="n">
        <x:f>($I$44+(($I$42*(1+$I$45)/(L$17-$I$45)-$I$43)/(1+$H20)^$I$46))/$I$47</x:f>
        <x:v>10.16815781829901</x:v>
      </x:c>
      <x:c r="M20" s="168" t="n">
        <x:f>($I$44+(($I$42*(1+$I$45)/(M$17-$I$45)-$I$43)/(1+$H20)^$I$46))/$I$47</x:f>
        <x:v>9.542425118261951</x:v>
      </x:c>
      <x:c r="N20" s="166"/>
    </x:row>
    <x:row r="21">
      <x:c r="A21" s="166" t="str">
        <x:v>Customers (#)</x:v>
      </x:c>
      <x:c r="B21" s="169" t="n">
        <x:f>'Operating Model'!B5</x:f>
        <x:v>600</x:v>
      </x:c>
      <x:c r="C21" s="169" t="n">
        <x:f>'Operating Model'!C5</x:f>
        <x:v>672.0000000000001</x:v>
      </x:c>
      <x:c r="D21" s="169" t="n">
        <x:f>'Operating Model'!D5</x:f>
        <x:v>745.9200000000002</x:v>
      </x:c>
      <x:c r="E21" s="169" t="n">
        <x:f>'Operating Model'!E5</x:f>
        <x:v>820.5120000000003</x:v>
      </x:c>
      <x:c r="F21" s="169" t="n">
        <x:f>'Operating Model'!F5</x:f>
        <x:v>894.3580800000004</x:v>
      </x:c>
      <x:c r="G21" s="166"/>
      <x:c r="H21" s="178" t="n">
        <x:f>Assumptions!A41</x:f>
        <x:v>0.275</x:v>
      </x:c>
      <x:c r="I21" s="168" t="n">
        <x:f>($I$44+(($I$42*(1+$I$45)/(I$17-$I$45)-$I$43)/(1+$H21)^$I$46))/$I$47</x:f>
        <x:v>12.58882585166752</x:v>
      </x:c>
      <x:c r="J21" s="168" t="n">
        <x:f>($I$44+(($I$42*(1+$I$45)/(J$17-$I$45)-$I$43)/(1+$H21)^$I$46))/$I$47</x:f>
        <x:v>11.350082367000823</x:v>
      </x:c>
      <x:c r="K21" s="168" t="n">
        <x:f>($I$44+(($I$42*(1+$I$45)/(K$17-$I$45)-$I$43)/(1+$H21)^$I$46))/$I$47</x:f>
        <x:v>10.421024753500799</x:v>
      </x:c>
      <x:c r="L21" s="168" t="n">
        <x:f>($I$44+(($I$42*(1+$I$45)/(L$17-$I$45)-$I$43)/(1+$H21)^$I$46))/$I$47</x:f>
        <x:v>9.698424387445227</x:v>
      </x:c>
      <x:c r="M21" s="168" t="n">
        <x:f>($I$44+(($I$42*(1+$I$45)/(M$17-$I$45)-$I$43)/(1+$H21)^$I$46))/$I$47</x:f>
        <x:v>9.120344094600767</x:v>
      </x:c>
      <x:c r="N21" s="166"/>
    </x:row>
    <x:row r="22">
      <x:c r="A22" s="166" t="str">
        <x:v>Ending debt (€m)</x:v>
      </x:c>
      <x:c r="B22" s="167" t="n">
        <x:f>'Operating Model'!B44</x:f>
        <x:v>28</x:v>
      </x:c>
      <x:c r="C22" s="167" t="n">
        <x:f>'Operating Model'!C44</x:f>
        <x:v>23.6844272</x:v>
      </x:c>
      <x:c r="D22" s="167" t="n">
        <x:f>'Operating Model'!D44</x:f>
        <x:v>17.89827579848</x:v>
      </x:c>
      <x:c r="E22" s="167" t="n">
        <x:f>'Operating Model'!E44</x:f>
        <x:v>10.517737196855839</x:v>
      </x:c>
      <x:c r="F22" s="167" t="n">
        <x:f>'Operating Model'!F44</x:f>
        <x:v>1.5238873889188014</x:v>
      </x:c>
      <x:c r="G22" s="166"/>
      <x:c r="H22" s="178" t="n">
        <x:f>Assumptions!A42</x:f>
        <x:v>0.3</x:v>
      </x:c>
      <x:c r="I22" s="168" t="n">
        <x:f>($I$44+(($I$42*(1+$I$45)/(I$17-$I$45)-$I$43)/(1+$H22)^$I$46))/$I$47</x:f>
        <x:v>11.94696182629489</x:v>
      </x:c>
      <x:c r="J22" s="168" t="n">
        <x:f>($I$44+(($I$42*(1+$I$45)/(J$17-$I$45)-$I$43)/(1+$H22)^$I$46))/$I$47</x:f>
        <x:v>10.80079268103198</x:v>
      </x:c>
      <x:c r="K22" s="168" t="n">
        <x:f>($I$44+(($I$42*(1+$I$45)/(K$17-$I$45)-$I$43)/(1+$H22)^$I$46))/$I$47</x:f>
        <x:v>9.941165822084795</x:v>
      </x:c>
      <x:c r="L22" s="168" t="n">
        <x:f>($I$44+(($I$42*(1+$I$45)/(L$17-$I$45)-$I$43)/(1+$H22)^$I$46))/$I$47</x:f>
        <x:v>9.272567154014764</x:v>
      </x:c>
      <x:c r="M22" s="168" t="n">
        <x:f>($I$44+(($I$42*(1+$I$45)/(M$17-$I$45)-$I$43)/(1+$H22)^$I$46))/$I$47</x:f>
        <x:v>8.73768821955874</x:v>
      </x:c>
      <x:c r="N22" s="166"/>
    </x:row>
    <x:row r="23">
      <x:c r="A23" s="166"/>
      <x:c r="B23" s="166"/>
      <x:c r="C23" s="166"/>
      <x:c r="D23" s="166"/>
      <x:c r="E23" s="166"/>
      <x:c r="F23" s="166"/>
      <x:c r="G23" s="166"/>
      <x:c r="H23" s="166"/>
      <x:c r="I23" s="166"/>
      <x:c r="J23" s="166"/>
      <x:c r="K23" s="166"/>
      <x:c r="L23" s="166"/>
      <x:c r="M23" s="166"/>
      <x:c r="N23" s="166"/>
    </x:row>
    <x:row r="24">
      <x:c r="A24" s="166"/>
      <x:c r="B24" s="166"/>
      <x:c r="C24" s="166"/>
      <x:c r="D24" s="166"/>
      <x:c r="E24" s="166"/>
      <x:c r="F24" s="166"/>
      <x:c r="G24" s="166"/>
      <x:c r="H24" s="166"/>
      <x:c r="I24" s="166"/>
      <x:c r="J24" s="166"/>
      <x:c r="K24" s="166"/>
      <x:c r="L24" s="166"/>
      <x:c r="M24" s="166"/>
      <x:c r="N24" s="166"/>
    </x:row>
    <x:row r="25" ht="21" customHeight="1">
      <x:c r="A25" s="17" t="str">
        <x:v>Methodology</x:v>
      </x:c>
      <x:c r="B25" s="17"/>
      <x:c r="C25" s="17"/>
      <x:c r="D25" s="17"/>
      <x:c r="E25" s="17"/>
      <x:c r="F25" s="17"/>
      <x:c r="G25" s="166"/>
      <x:c r="H25" s="182" t="str">
        <x:v>Year</x:v>
      </x:c>
      <x:c r="I25" s="182" t="str">
        <x:v>Revenue (€m)</x:v>
      </x:c>
      <x:c r="J25" s="182" t="str">
        <x:v>EBITDA (€m)</x:v>
      </x:c>
      <x:c r="K25" s="166"/>
      <x:c r="L25" s="166"/>
      <x:c r="M25" s="166"/>
      <x:c r="N25" s="166"/>
    </x:row>
    <x:row r="26">
      <x:c r="A26" s="183" t="str">
        <x:v>Revenue is driven by paying customers × ARPU. The 2026 Opex base is split into customer-variable and fixed costs. Variable cost scales with customer count and inflation, while fixed Opex inflates annually. Cost synergies reduce pre-synergy Opex. UFCF is derived from NOPAT + D&amp;A - Capex - ΔNWC. The 2030 exit EV equals 2031 UFCF / (WACC - g). For the PE backsolve, 4.0x entry debt is amortized through a 100% cash sweep. The residual 2030 equity value is discounted at the target IRR to determine the maximum 2026 equity cheque and purchase EV.</x:v>
      </x:c>
      <x:c r="B26" s="183"/>
      <x:c r="C26" s="183"/>
      <x:c r="D26" s="183"/>
      <x:c r="E26" s="183"/>
      <x:c r="F26" s="183"/>
      <x:c r="G26" s="166"/>
      <x:c r="H26" s="166" t="n">
        <x:v>2026</x:v>
      </x:c>
      <x:c r="I26" s="167" t="n">
        <x:f>'Operating Model'!B9</x:f>
        <x:v>14</x:v>
      </x:c>
      <x:c r="J26" s="167" t="n">
        <x:f>'Operating Model'!B18</x:f>
        <x:v>7</x:v>
      </x:c>
      <x:c r="K26" s="166"/>
      <x:c r="L26" s="166"/>
      <x:c r="M26" s="166"/>
      <x:c r="N26" s="166"/>
    </x:row>
    <x:row r="27">
      <x:c r="A27" s="183"/>
      <x:c r="B27" s="183"/>
      <x:c r="C27" s="183"/>
      <x:c r="D27" s="183"/>
      <x:c r="E27" s="183"/>
      <x:c r="F27" s="183"/>
      <x:c r="G27" s="166"/>
      <x:c r="H27" s="166" t="n">
        <x:v>2027</x:v>
      </x:c>
      <x:c r="I27" s="167" t="n">
        <x:f>'Operating Model'!C9</x:f>
        <x:v>16.3072</x:v>
      </x:c>
      <x:c r="J27" s="167" t="n">
        <x:f>'Operating Model'!C18</x:f>
        <x:v>8.6156</x:v>
      </x:c>
      <x:c r="K27" s="166"/>
      <x:c r="L27" s="166"/>
      <x:c r="M27" s="166"/>
      <x:c r="N27" s="166"/>
    </x:row>
    <x:row r="28">
      <x:c r="A28" s="183"/>
      <x:c r="B28" s="183"/>
      <x:c r="C28" s="183"/>
      <x:c r="D28" s="183"/>
      <x:c r="E28" s="183"/>
      <x:c r="F28" s="183"/>
      <x:c r="G28" s="166"/>
      <x:c r="H28" s="166" t="n">
        <x:v>2028</x:v>
      </x:c>
      <x:c r="I28" s="167" t="n">
        <x:f>'Operating Model'!D9</x:f>
        <x:v>18.825031680000002</x:v>
      </x:c>
      <x:c r="J28" s="167" t="n">
        <x:f>'Operating Model'!D18</x:f>
        <x:v>10.566056788000001</x:v>
      </x:c>
      <x:c r="K28" s="166"/>
      <x:c r="L28" s="166"/>
      <x:c r="M28" s="166"/>
      <x:c r="N28" s="166"/>
    </x:row>
    <x:row r="29">
      <x:c r="A29" s="183"/>
      <x:c r="B29" s="183"/>
      <x:c r="C29" s="183"/>
      <x:c r="D29" s="183"/>
      <x:c r="E29" s="183"/>
      <x:c r="F29" s="183"/>
      <x:c r="G29" s="166"/>
      <x:c r="H29" s="166" t="n">
        <x:v>2029</x:v>
      </x:c>
      <x:c r="I29" s="167" t="n">
        <x:f>'Operating Model'!E9</x:f>
        <x:v>21.432298567680004</x:v>
      </x:c>
      <x:c r="J29" s="167" t="n">
        <x:f>'Operating Model'!E18</x:f>
        <x:v>12.599813274720002</x:v>
      </x:c>
      <x:c r="K29" s="166"/>
      <x:c r="L29" s="166"/>
      <x:c r="M29" s="166"/>
      <x:c r="N29" s="166"/>
    </x:row>
    <x:row r="30">
      <x:c r="A30" s="183"/>
      <x:c r="B30" s="183"/>
      <x:c r="C30" s="183"/>
      <x:c r="D30" s="183"/>
      <x:c r="E30" s="183"/>
      <x:c r="F30" s="183"/>
      <x:c r="G30" s="166"/>
      <x:c r="H30" s="166" t="n">
        <x:v>2030</x:v>
      </x:c>
      <x:c r="I30" s="167" t="n">
        <x:f>'Operating Model'!F9</x:f>
        <x:v>24.062041601934347</x:v>
      </x:c>
      <x:c r="J30" s="167" t="n">
        <x:f>'Operating Model'!F18</x:f>
        <x:v>14.560992862239988</x:v>
      </x:c>
      <x:c r="K30" s="166"/>
      <x:c r="L30" s="166"/>
      <x:c r="M30" s="166"/>
      <x:c r="N30" s="166"/>
    </x:row>
    <x:row r="31">
      <x:c r="A31" s="183"/>
      <x:c r="B31" s="183"/>
      <x:c r="C31" s="183"/>
      <x:c r="D31" s="183"/>
      <x:c r="E31" s="183"/>
      <x:c r="F31" s="183"/>
      <x:c r="G31" s="166"/>
      <x:c r="H31" s="166"/>
      <x:c r="I31" s="166"/>
      <x:c r="J31" s="166"/>
      <x:c r="K31" s="166"/>
      <x:c r="L31" s="166"/>
      <x:c r="M31" s="166"/>
      <x:c r="N31" s="166"/>
    </x:row>
    <x:row r="32">
      <x:c r="A32" s="166"/>
      <x:c r="B32" s="166"/>
      <x:c r="C32" s="166"/>
      <x:c r="D32" s="166"/>
      <x:c r="E32" s="166"/>
      <x:c r="F32" s="166"/>
      <x:c r="G32" s="166"/>
      <x:c r="H32" s="166"/>
      <x:c r="I32" s="166"/>
      <x:c r="J32" s="166"/>
      <x:c r="K32" s="166"/>
      <x:c r="L32" s="166"/>
      <x:c r="M32" s="166"/>
      <x:c r="N32" s="166"/>
    </x:row>
    <x:row r="33">
      <x:c r="A33" s="166"/>
      <x:c r="B33" s="166"/>
      <x:c r="C33" s="166"/>
      <x:c r="D33" s="166"/>
      <x:c r="E33" s="166"/>
      <x:c r="F33" s="166"/>
      <x:c r="G33" s="166"/>
      <x:c r="H33" s="166"/>
      <x:c r="I33" s="166"/>
      <x:c r="J33" s="166"/>
      <x:c r="K33" s="166"/>
      <x:c r="L33" s="166"/>
      <x:c r="M33" s="166"/>
      <x:c r="N33" s="166"/>
    </x:row>
    <x:row r="34">
      <x:c r="A34" s="166"/>
      <x:c r="B34" s="166"/>
      <x:c r="C34" s="166"/>
      <x:c r="D34" s="166"/>
      <x:c r="E34" s="166"/>
      <x:c r="F34" s="166"/>
      <x:c r="G34" s="166"/>
      <x:c r="H34" s="166"/>
      <x:c r="I34" s="166"/>
      <x:c r="J34" s="166"/>
      <x:c r="K34" s="166"/>
      <x:c r="L34" s="166"/>
      <x:c r="M34" s="166"/>
      <x:c r="N34" s="166"/>
    </x:row>
    <x:row r="35">
      <x:c r="A35" s="166"/>
      <x:c r="B35" s="166"/>
      <x:c r="C35" s="166"/>
      <x:c r="D35" s="166"/>
      <x:c r="E35" s="166"/>
      <x:c r="F35" s="166"/>
      <x:c r="G35" s="166"/>
      <x:c r="H35" s="166"/>
      <x:c r="I35" s="166"/>
      <x:c r="J35" s="166"/>
      <x:c r="K35" s="166"/>
      <x:c r="L35" s="166"/>
      <x:c r="M35" s="166"/>
      <x:c r="N35" s="166"/>
    </x:row>
    <x:row r="36">
      <x:c r="A36" s="166"/>
      <x:c r="B36" s="166"/>
      <x:c r="C36" s="166"/>
      <x:c r="D36" s="166"/>
      <x:c r="E36" s="166"/>
      <x:c r="F36" s="166"/>
      <x:c r="G36" s="166"/>
      <x:c r="H36" s="166"/>
      <x:c r="I36" s="166"/>
      <x:c r="J36" s="166"/>
      <x:c r="K36" s="166"/>
      <x:c r="L36" s="166"/>
      <x:c r="M36" s="166"/>
      <x:c r="N36" s="166"/>
    </x:row>
    <x:row r="37">
      <x:c r="A37" s="166"/>
      <x:c r="B37" s="166"/>
      <x:c r="C37" s="166"/>
      <x:c r="D37" s="166"/>
      <x:c r="E37" s="166"/>
      <x:c r="F37" s="166"/>
      <x:c r="G37" s="166"/>
      <x:c r="H37" s="166"/>
      <x:c r="I37" s="166"/>
      <x:c r="J37" s="166"/>
      <x:c r="K37" s="166"/>
      <x:c r="L37" s="166"/>
      <x:c r="M37" s="166"/>
      <x:c r="N37" s="166"/>
    </x:row>
    <x:row r="38">
      <x:c r="A38" s="166"/>
      <x:c r="B38" s="166"/>
      <x:c r="C38" s="166"/>
      <x:c r="D38" s="166"/>
      <x:c r="E38" s="166"/>
      <x:c r="F38" s="166"/>
      <x:c r="G38" s="166"/>
      <x:c r="H38" s="166"/>
      <x:c r="I38" s="166"/>
      <x:c r="J38" s="166"/>
      <x:c r="K38" s="166"/>
      <x:c r="L38" s="166"/>
      <x:c r="M38" s="166"/>
      <x:c r="N38" s="166"/>
    </x:row>
    <x:row r="39">
      <x:c r="A39" s="166"/>
      <x:c r="B39" s="166"/>
      <x:c r="C39" s="166"/>
      <x:c r="D39" s="166"/>
      <x:c r="E39" s="166"/>
      <x:c r="F39" s="166"/>
      <x:c r="G39" s="166"/>
      <x:c r="H39" s="166"/>
      <x:c r="I39" s="166"/>
      <x:c r="J39" s="166"/>
      <x:c r="K39" s="166"/>
      <x:c r="L39" s="166"/>
      <x:c r="M39" s="166"/>
      <x:c r="N39" s="166"/>
    </x:row>
    <x:row r="40">
      <x:c r="A40" s="166"/>
      <x:c r="B40" s="166"/>
      <x:c r="C40" s="166"/>
      <x:c r="D40" s="166"/>
      <x:c r="E40" s="166"/>
      <x:c r="F40" s="166"/>
      <x:c r="G40" s="166"/>
      <x:c r="H40" s="166"/>
      <x:c r="I40" s="166"/>
      <x:c r="J40" s="166"/>
      <x:c r="K40" s="166"/>
      <x:c r="L40" s="166"/>
      <x:c r="M40" s="166"/>
      <x:c r="N40" s="166"/>
    </x:row>
    <x:row r="41">
      <x:c r="A41" s="166"/>
      <x:c r="B41" s="166"/>
      <x:c r="C41" s="166"/>
      <x:c r="D41" s="166"/>
      <x:c r="E41" s="166"/>
      <x:c r="F41" s="166"/>
      <x:c r="G41" s="166"/>
      <x:c r="H41" s="263" t="str">
        <x:v>Sensitivity helpers</x:v>
      </x:c>
      <x:c r="I41" s="263"/>
      <x:c r="J41" s="166"/>
      <x:c r="K41" s="166"/>
      <x:c r="L41" s="166"/>
      <x:c r="M41" s="166"/>
      <x:c r="N41" s="166"/>
    </x:row>
    <x:row r="42">
      <x:c r="A42" s="166"/>
      <x:c r="B42" s="166"/>
      <x:c r="C42" s="166"/>
      <x:c r="D42" s="166"/>
      <x:c r="E42" s="166"/>
      <x:c r="F42" s="166"/>
      <x:c r="G42" s="166"/>
      <x:c r="H42" s="166" t="str">
        <x:v>UFCF 2030 (€m)</x:v>
      </x:c>
      <x:c r="I42" s="167" t="n">
        <x:f>'Operating Model'!F29</x:f>
        <x:v>9.435594770204982</x:v>
      </x:c>
      <x:c r="J42" s="166"/>
      <x:c r="K42" s="166"/>
      <x:c r="L42" s="166"/>
      <x:c r="M42" s="166"/>
      <x:c r="N42" s="166"/>
    </x:row>
    <x:row r="43">
      <x:c r="A43" s="166"/>
      <x:c r="B43" s="166"/>
      <x:c r="C43" s="166"/>
      <x:c r="D43" s="166"/>
      <x:c r="E43" s="166"/>
      <x:c r="F43" s="166"/>
      <x:c r="G43" s="166"/>
      <x:c r="H43" s="166" t="str">
        <x:v>Exit debt 2030 (€m)</x:v>
      </x:c>
      <x:c r="I43" s="167" t="n">
        <x:f>'Operating Model'!F44</x:f>
        <x:v>1.5238873889188014</x:v>
      </x:c>
      <x:c r="J43" s="166"/>
      <x:c r="K43" s="166"/>
      <x:c r="L43" s="166"/>
      <x:c r="M43" s="166"/>
      <x:c r="N43" s="166"/>
    </x:row>
    <x:row r="44">
      <x:c r="A44" s="166"/>
      <x:c r="B44" s="166"/>
      <x:c r="C44" s="166"/>
      <x:c r="D44" s="166"/>
      <x:c r="E44" s="166"/>
      <x:c r="F44" s="166"/>
      <x:c r="G44" s="166"/>
      <x:c r="H44" s="166" t="str">
        <x:v>Entry debt (€m)</x:v>
      </x:c>
      <x:c r="I44" s="167" t="n">
        <x:f>'Operating Model'!B44</x:f>
        <x:v>28</x:v>
      </x:c>
      <x:c r="J44" s="166"/>
      <x:c r="K44" s="166"/>
      <x:c r="L44" s="166"/>
      <x:c r="M44" s="166"/>
      <x:c r="N44" s="166"/>
    </x:row>
    <x:row r="45">
      <x:c r="A45" s="166"/>
      <x:c r="B45" s="166"/>
      <x:c r="C45" s="166"/>
      <x:c r="D45" s="166"/>
      <x:c r="E45" s="166"/>
      <x:c r="F45" s="166"/>
      <x:c r="G45" s="166"/>
      <x:c r="H45" s="166" t="str">
        <x:v>Terminal growth</x:v>
      </x:c>
      <x:c r="I45" s="170" t="n">
        <x:f>Assumptions!B27</x:f>
        <x:v>0.02</x:v>
      </x:c>
      <x:c r="J45" s="166"/>
      <x:c r="K45" s="166"/>
      <x:c r="L45" s="166"/>
      <x:c r="M45" s="166"/>
      <x:c r="N45" s="166"/>
    </x:row>
    <x:row r="46">
      <x:c r="H46" t="str">
        <x:v>Holding period (years)</x:v>
      </x:c>
      <x:c r="I46" s="270" t="n">
        <x:f>Assumptions!B33</x:f>
        <x:v>4</x:v>
      </x:c>
    </x:row>
    <x:row r="47">
      <x:c r="H47" t="str">
        <x:v>EBITDA 2026 (€m)</x:v>
      </x:c>
      <x:c r="I47" s="272" t="n">
        <x:f>Assumptions!B6</x:f>
        <x:v>7</x:v>
      </x:c>
    </x:row>
  </x:sheetData>
  <x:mergeCells>
    <x:mergeCell ref="A4:B4"/>
    <x:mergeCell ref="D4:F4"/>
    <x:mergeCell ref="H4:K4"/>
    <x:mergeCell ref="A16:F16"/>
    <x:mergeCell ref="H16:M16"/>
    <x:mergeCell ref="A25:F25"/>
    <x:mergeCell ref="A26:F31"/>
    <x:mergeCell ref="D5:E5"/>
    <x:mergeCell ref="D6:E6"/>
    <x:mergeCell ref="D7:E7"/>
    <x:mergeCell ref="D8:E8"/>
    <x:mergeCell ref="D9:E9"/>
  </x:mergeCells>
  <x:pageMargins left="0.7" right="0.7" top="0.75" bottom="0.75" header="0.3" footer="0.3"/>
  <x:drawing xmlns:r="http://schemas.openxmlformats.org/officeDocument/2006/relationships" r:id="R9b1dd3772e7d4bea"/>
</x:worksheet>
</file>

<file path=xl/worksheets/sheet2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" hidden="0" customWidth="1"/>
  </x:cols>
  <x:sheetData>
    <x:row r="1" ht="30" customHeight="1">
      <x:c r="A1" s="274" t="str">
        <x:v>Operating Model, DCF &amp; LBO Debt Schedule</x:v>
      </x:c>
      <x:c r="B1" s="7"/>
      <x:c r="C1" s="7"/>
      <x:c r="D1" s="7"/>
      <x:c r="E1" s="7"/>
      <x:c r="F1" s="7"/>
      <x:c r="G1" s="166"/>
    </x:row>
    <x:row r="2">
      <x:c r="A2" s="204" t="str">
        <x:v>€m unless otherwise stated</x:v>
      </x:c>
      <x:c r="B2" s="205" t="n">
        <x:v>2026</x:v>
      </x:c>
      <x:c r="C2" s="205" t="n">
        <x:v>2027</x:v>
      </x:c>
      <x:c r="D2" s="205" t="n">
        <x:v>2028</x:v>
      </x:c>
      <x:c r="E2" s="205" t="n">
        <x:v>2029</x:v>
      </x:c>
      <x:c r="F2" s="205" t="n">
        <x:v>2030</x:v>
      </x:c>
      <x:c r="G2" s="166"/>
    </x:row>
    <x:row r="3">
      <x:c r="A3" s="166"/>
      <x:c r="B3" s="166"/>
      <x:c r="C3" s="166"/>
      <x:c r="D3" s="166"/>
      <x:c r="E3" s="166"/>
      <x:c r="F3" s="166"/>
      <x:c r="G3" s="166"/>
    </x:row>
    <x:row r="4" ht="21" customHeight="1">
      <x:c r="A4" s="17" t="str">
        <x:v>Revenue Drivers</x:v>
      </x:c>
      <x:c r="B4" s="17"/>
      <x:c r="C4" s="17"/>
      <x:c r="D4" s="17"/>
      <x:c r="E4" s="17"/>
      <x:c r="F4" s="17"/>
      <x:c r="G4" s="166"/>
    </x:row>
    <x:row r="5">
      <x:c r="A5" s="166" t="str">
        <x:v>Paying customers (#)</x:v>
      </x:c>
      <x:c r="B5" s="169" t="n">
        <x:f>Assumptions!B7</x:f>
        <x:v>600</x:v>
      </x:c>
      <x:c r="C5" s="206" t="n">
        <x:f>B5*(1+Assumptions!B18)</x:f>
        <x:v>672.0000000000001</x:v>
      </x:c>
      <x:c r="D5" s="206" t="n">
        <x:f>C5*(1+Assumptions!C18)</x:f>
        <x:v>745.9200000000002</x:v>
      </x:c>
      <x:c r="E5" s="206" t="n">
        <x:f>D5*(1+Assumptions!D18)</x:f>
        <x:v>820.5120000000003</x:v>
      </x:c>
      <x:c r="F5" s="206" t="n">
        <x:f>E5*(1+Assumptions!E18)</x:f>
        <x:v>894.3580800000004</x:v>
      </x:c>
      <x:c r="G5" s="166"/>
    </x:row>
    <x:row r="6">
      <x:c r="A6" s="166" t="str">
        <x:v>% customer growth</x:v>
      </x:c>
      <x:c r="B6" s="207"/>
      <x:c r="C6" s="170" t="n">
        <x:f>Assumptions!B18</x:f>
        <x:v>0.12</x:v>
      </x:c>
      <x:c r="D6" s="170" t="n">
        <x:f>Assumptions!C18</x:f>
        <x:v>0.11</x:v>
      </x:c>
      <x:c r="E6" s="170" t="n">
        <x:f>Assumptions!D18</x:f>
        <x:v>0.1</x:v>
      </x:c>
      <x:c r="F6" s="170" t="n">
        <x:f>Assumptions!E18</x:f>
        <x:v>0.09</x:v>
      </x:c>
      <x:c r="G6" s="166"/>
    </x:row>
    <x:row r="7">
      <x:c r="A7" s="166" t="str">
        <x:v>ARPU (€k p.a.)</x:v>
      </x:c>
      <x:c r="B7" s="167" t="n">
        <x:f>Assumptions!B8</x:f>
        <x:v>23.333333333333332</x:v>
      </x:c>
      <x:c r="C7" s="208" t="n">
        <x:f>B7*(1+Assumptions!B17)</x:f>
        <x:v>24.266666666666666</x:v>
      </x:c>
      <x:c r="D7" s="208" t="n">
        <x:f>C7*(1+Assumptions!C17)</x:f>
        <x:v>25.237333333333332</x:v>
      </x:c>
      <x:c r="E7" s="208" t="n">
        <x:f>D7*(1+Assumptions!D17)</x:f>
        <x:v>26.120639999999998</x:v>
      </x:c>
      <x:c r="F7" s="208" t="n">
        <x:f>E7*(1+Assumptions!E17)</x:f>
        <x:v>26.9042592</x:v>
      </x:c>
      <x:c r="G7" s="166"/>
    </x:row>
    <x:row r="8">
      <x:c r="A8" s="166" t="str">
        <x:v>% ARPU growth</x:v>
      </x:c>
      <x:c r="B8" s="207"/>
      <x:c r="C8" s="170" t="n">
        <x:f>Assumptions!B17</x:f>
        <x:v>0.04</x:v>
      </x:c>
      <x:c r="D8" s="170" t="n">
        <x:f>Assumptions!C17</x:f>
        <x:v>0.04</x:v>
      </x:c>
      <x:c r="E8" s="170" t="n">
        <x:f>Assumptions!D17</x:f>
        <x:v>0.035</x:v>
      </x:c>
      <x:c r="F8" s="170" t="n">
        <x:f>Assumptions!E17</x:f>
        <x:v>0.03</x:v>
      </x:c>
      <x:c r="G8" s="166"/>
    </x:row>
    <x:row r="9">
      <x:c r="A9" s="166" t="str">
        <x:v>Revenue (€m)</x:v>
      </x:c>
      <x:c r="B9" s="167" t="n">
        <x:f>Assumptions!B5</x:f>
        <x:v>14</x:v>
      </x:c>
      <x:c r="C9" s="208" t="n">
        <x:f>C5*C7/1000</x:f>
        <x:v>16.3072</x:v>
      </x:c>
      <x:c r="D9" s="208" t="n">
        <x:f>D5*D7/1000</x:f>
        <x:v>18.825031680000002</x:v>
      </x:c>
      <x:c r="E9" s="208" t="n">
        <x:f>E5*E7/1000</x:f>
        <x:v>21.432298567680004</x:v>
      </x:c>
      <x:c r="F9" s="208" t="n">
        <x:f>F5*F7/1000</x:f>
        <x:v>24.062041601934347</x:v>
      </x:c>
      <x:c r="G9" s="166"/>
    </x:row>
    <x:row r="10">
      <x:c r="A10" s="166" t="str">
        <x:v>% revenue growth</x:v>
      </x:c>
      <x:c r="B10" s="207"/>
      <x:c r="C10" s="209" t="n">
        <x:f>C9/B9-1</x:f>
        <x:v>0.16480000000000006</x:v>
      </x:c>
      <x:c r="D10" s="209" t="n">
        <x:f>D9/C9-1</x:f>
        <x:v>0.1544000000000001</x:v>
      </x:c>
      <x:c r="E10" s="209" t="n">
        <x:f>E9/D9-1</x:f>
        <x:v>0.13850000000000007</x:v>
      </x:c>
      <x:c r="F10" s="209" t="n">
        <x:f>F9/E9-1</x:f>
        <x:v>0.12270000000000025</x:v>
      </x:c>
      <x:c r="G10" s="166"/>
    </x:row>
    <x:row r="11">
      <x:c r="A11" s="166"/>
      <x:c r="B11" s="166"/>
      <x:c r="C11" s="166"/>
      <x:c r="D11" s="166"/>
      <x:c r="E11" s="166"/>
      <x:c r="F11" s="166"/>
      <x:c r="G11" s="166"/>
    </x:row>
    <x:row r="12" ht="21" customHeight="1">
      <x:c r="A12" s="17" t="str">
        <x:v>Operating Profitability</x:v>
      </x:c>
      <x:c r="B12" s="17"/>
      <x:c r="C12" s="17"/>
      <x:c r="D12" s="17"/>
      <x:c r="E12" s="17"/>
      <x:c r="F12" s="17"/>
      <x:c r="G12" s="166"/>
    </x:row>
    <x:row r="13">
      <x:c r="A13" s="166" t="str">
        <x:v>Variable Opex before synergies (€m)</x:v>
      </x:c>
      <x:c r="B13" s="167" t="n">
        <x:f>Assumptions!B10*Assumptions!B11</x:f>
        <x:v>4.2</x:v>
      </x:c>
      <x:c r="C13" s="167" t="n">
        <x:f>$B$13*(C5/$B$5)*(1+Assumptions!$B$13)^1</x:f>
        <x:v>4.8216</x:v>
      </x:c>
      <x:c r="D13" s="167" t="n">
        <x:f>$B$13*(D5/$B$5)*(1+Assumptions!$B$13)^2</x:f>
        <x:v>5.4857754000000005</x:v>
      </x:c>
      <x:c r="E13" s="167" t="n">
        <x:f>$B$13*(E5/$B$5)*(1+Assumptions!$B$13)^3</x:f>
        <x:v>6.185211763500002</x:v>
      </x:c>
      <x:c r="F13" s="167" t="n">
        <x:f>$B$13*(F5/$B$5)*(1+Assumptions!$B$13)^4</x:f>
        <x:v>6.910427842770377</x:v>
      </x:c>
      <x:c r="G13" s="166"/>
    </x:row>
    <x:row r="14">
      <x:c r="A14" s="166" t="str">
        <x:v>Fixed Opex before synergies (€m)</x:v>
      </x:c>
      <x:c r="B14" s="167" t="n">
        <x:f>Assumptions!B10*Assumptions!B12</x:f>
        <x:v>2.8000000000000003</x:v>
      </x:c>
      <x:c r="C14" s="167" t="n">
        <x:f>$B$14*(1+Assumptions!$B$13)^1</x:f>
        <x:v>2.87</x:v>
      </x:c>
      <x:c r="D14" s="167" t="n">
        <x:f>$B$14*(1+Assumptions!$B$13)^2</x:f>
        <x:v>2.94175</x:v>
      </x:c>
      <x:c r="E14" s="167" t="n">
        <x:f>$B$14*(1+Assumptions!$B$13)^3</x:f>
        <x:v>3.01529375</x:v>
      </x:c>
      <x:c r="F14" s="167" t="n">
        <x:f>$B$14*(1+Assumptions!$B$13)^4</x:f>
        <x:v>3.0906760937499995</x:v>
      </x:c>
      <x:c r="G14" s="166"/>
    </x:row>
    <x:row r="15">
      <x:c r="A15" s="179" t="str">
        <x:v>Pre-synergy Opex (€m)</x:v>
      </x:c>
      <x:c r="B15" s="210" t="n">
        <x:f>SUM(B13:B14)</x:f>
        <x:v>7</x:v>
      </x:c>
      <x:c r="C15" s="210" t="n">
        <x:f>SUM(C13:C14)</x:f>
        <x:v>7.6916</x:v>
      </x:c>
      <x:c r="D15" s="210" t="n">
        <x:f>SUM(D13:D14)</x:f>
        <x:v>8.4275254</x:v>
      </x:c>
      <x:c r="E15" s="210" t="n">
        <x:f>SUM(E13:E14)</x:f>
        <x:v>9.200505513500001</x:v>
      </x:c>
      <x:c r="F15" s="210" t="n">
        <x:f>SUM(F13:F14)</x:f>
        <x:v>10.001103936520376</x:v>
      </x:c>
      <x:c r="G15" s="166"/>
    </x:row>
    <x:row r="16">
      <x:c r="A16" s="166" t="str">
        <x:v>Cost synergies (€m)</x:v>
      </x:c>
      <x:c r="B16" s="208" t="n">
        <x:v>0</x:v>
      </x:c>
      <x:c r="C16" s="208" t="n">
        <x:f>C15*Assumptions!B19</x:f>
        <x:v>0</x:v>
      </x:c>
      <x:c r="D16" s="208" t="n">
        <x:f>D15*Assumptions!C19</x:f>
        <x:v>0.16855050800000002</x:v>
      </x:c>
      <x:c r="E16" s="208" t="n">
        <x:f>E15*Assumptions!D19</x:f>
        <x:v>0.36802022054000005</x:v>
      </x:c>
      <x:c r="F16" s="208" t="n">
        <x:f>F15*Assumptions!E19</x:f>
        <x:v>0.5000551968260188</x:v>
      </x:c>
      <x:c r="G16" s="166"/>
    </x:row>
    <x:row r="17">
      <x:c r="A17" s="166" t="str">
        <x:v>Opex after synergies (€m)</x:v>
      </x:c>
      <x:c r="B17" s="208" t="n">
        <x:f>B15-B16</x:f>
        <x:v>7</x:v>
      </x:c>
      <x:c r="C17" s="208" t="n">
        <x:f>C15-C16</x:f>
        <x:v>7.6916</x:v>
      </x:c>
      <x:c r="D17" s="208" t="n">
        <x:f>D15-D16</x:f>
        <x:v>8.258974892000001</x:v>
      </x:c>
      <x:c r="E17" s="208" t="n">
        <x:f>E15-E16</x:f>
        <x:v>8.832485292960001</x:v>
      </x:c>
      <x:c r="F17" s="208" t="n">
        <x:f>F15-F16</x:f>
        <x:v>9.501048739694358</x:v>
      </x:c>
      <x:c r="G17" s="166"/>
    </x:row>
    <x:row r="18">
      <x:c r="A18" s="179" t="str">
        <x:v>EBITDA (€m)</x:v>
      </x:c>
      <x:c r="B18" s="210" t="n">
        <x:f>B9-B17</x:f>
        <x:v>7</x:v>
      </x:c>
      <x:c r="C18" s="210" t="n">
        <x:f>C9-C17</x:f>
        <x:v>8.6156</x:v>
      </x:c>
      <x:c r="D18" s="210" t="n">
        <x:f>D9-D17</x:f>
        <x:v>10.566056788000001</x:v>
      </x:c>
      <x:c r="E18" s="210" t="n">
        <x:f>E9-E17</x:f>
        <x:v>12.599813274720002</x:v>
      </x:c>
      <x:c r="F18" s="210" t="n">
        <x:f>F9-F17</x:f>
        <x:v>14.560992862239988</x:v>
      </x:c>
      <x:c r="G18" s="166"/>
    </x:row>
    <x:row r="19">
      <x:c r="A19" s="166" t="str">
        <x:v>EBITDA margin</x:v>
      </x:c>
      <x:c r="B19" s="209" t="n">
        <x:f>B18/B9</x:f>
        <x:v>0.5</x:v>
      </x:c>
      <x:c r="C19" s="209" t="n">
        <x:f>C18/C9</x:f>
        <x:v>0.5283310439560439</x:v>
      </x:c>
      <x:c r="D19" s="209" t="n">
        <x:f>D18/D9</x:f>
        <x:v>0.5612769724698811</x:v>
      </x:c>
      <x:c r="E19" s="209" t="n">
        <x:f>E18/E9</x:f>
        <x:v>0.5878890327573438</x:v>
      </x:c>
      <x:c r="F19" s="209" t="n">
        <x:f>F18/F9</x:f>
        <x:v>0.6051436990728762</x:v>
      </x:c>
      <x:c r="G19" s="166"/>
    </x:row>
    <x:row r="20">
      <x:c r="A20" s="166"/>
      <x:c r="B20" s="166"/>
      <x:c r="C20" s="166"/>
      <x:c r="D20" s="166"/>
      <x:c r="E20" s="166"/>
      <x:c r="F20" s="166"/>
      <x:c r="G20" s="166"/>
    </x:row>
    <x:row r="21" ht="21" customHeight="1">
      <x:c r="A21" s="17" t="str">
        <x:v>DCF Build</x:v>
      </x:c>
      <x:c r="B21" s="17"/>
      <x:c r="C21" s="17"/>
      <x:c r="D21" s="17"/>
      <x:c r="E21" s="17"/>
      <x:c r="F21" s="17"/>
      <x:c r="G21" s="166"/>
    </x:row>
    <x:row r="22">
      <x:c r="A22" s="166" t="str">
        <x:v>D&amp;A (€m)</x:v>
      </x:c>
      <x:c r="B22" s="167" t="n">
        <x:f>B9*Assumptions!$B$23</x:f>
        <x:v>0.42</x:v>
      </x:c>
      <x:c r="C22" s="167" t="n">
        <x:f>C9*Assumptions!$B$23</x:f>
        <x:v>0.48921600000000004</x:v>
      </x:c>
      <x:c r="D22" s="167" t="n">
        <x:f>D9*Assumptions!$B$23</x:f>
        <x:v>0.5647509504</x:v>
      </x:c>
      <x:c r="E22" s="167" t="n">
        <x:f>E9*Assumptions!$B$23</x:f>
        <x:v>0.6429689570304001</x:v>
      </x:c>
      <x:c r="F22" s="167" t="n">
        <x:f>F9*Assumptions!$B$23</x:f>
        <x:v>0.7218612480580304</x:v>
      </x:c>
      <x:c r="G22" s="166"/>
    </x:row>
    <x:row r="23">
      <x:c r="A23" s="166" t="str">
        <x:v>EBIT (€m)</x:v>
      </x:c>
      <x:c r="B23" s="208" t="n">
        <x:f>B18-B22</x:f>
        <x:v>6.58</x:v>
      </x:c>
      <x:c r="C23" s="208" t="n">
        <x:f>C18-C22</x:f>
        <x:v>8.126384</x:v>
      </x:c>
      <x:c r="D23" s="208" t="n">
        <x:f>D18-D22</x:f>
        <x:v>10.0013058376</x:v>
      </x:c>
      <x:c r="E23" s="208" t="n">
        <x:f>E18-E22</x:f>
        <x:v>11.956844317689603</x:v>
      </x:c>
      <x:c r="F23" s="208" t="n">
        <x:f>F18-F22</x:f>
        <x:v>13.839131614181959</x:v>
      </x:c>
      <x:c r="G23" s="166"/>
    </x:row>
    <x:row r="24">
      <x:c r="A24" s="166" t="str">
        <x:v>Cash taxes on EBIT (€m)</x:v>
      </x:c>
      <x:c r="B24" s="208" t="n">
        <x:f>MAX(0,B23*Assumptions!$B$22)</x:f>
        <x:v>1.974</x:v>
      </x:c>
      <x:c r="C24" s="208" t="n">
        <x:f>MAX(0,C23*Assumptions!$B$22)</x:f>
        <x:v>2.4379152</x:v>
      </x:c>
      <x:c r="D24" s="208" t="n">
        <x:f>MAX(0,D23*Assumptions!$B$22)</x:f>
        <x:v>3.00039175128</x:v>
      </x:c>
      <x:c r="E24" s="208" t="n">
        <x:f>MAX(0,E23*Assumptions!$B$22)</x:f>
        <x:v>3.5870532953068808</x:v>
      </x:c>
      <x:c r="F24" s="208" t="n">
        <x:f>MAX(0,F23*Assumptions!$B$22)</x:f>
        <x:v>4.151739484254588</x:v>
      </x:c>
      <x:c r="G24" s="166"/>
    </x:row>
    <x:row r="25">
      <x:c r="A25" s="179" t="str">
        <x:v>NOPAT (€m)</x:v>
      </x:c>
      <x:c r="B25" s="210" t="n">
        <x:f>B23-B24</x:f>
        <x:v>4.606</x:v>
      </x:c>
      <x:c r="C25" s="210" t="n">
        <x:f>C23-C24</x:f>
        <x:v>5.6884688</x:v>
      </x:c>
      <x:c r="D25" s="210" t="n">
        <x:f>D23-D24</x:f>
        <x:v>7.00091408632</x:v>
      </x:c>
      <x:c r="E25" s="210" t="n">
        <x:f>E23-E24</x:f>
        <x:v>8.369791022382723</x:v>
      </x:c>
      <x:c r="F25" s="210" t="n">
        <x:f>F23-F24</x:f>
        <x:v>9.687392129927371</x:v>
      </x:c>
      <x:c r="G25" s="166"/>
    </x:row>
    <x:row r="26">
      <x:c r="A26" s="166" t="str">
        <x:v>Capex (€m)</x:v>
      </x:c>
      <x:c r="B26" s="167" t="n">
        <x:f>B9*Assumptions!$B$24</x:f>
        <x:v>0.49000000000000005</x:v>
      </x:c>
      <x:c r="C26" s="167" t="n">
        <x:f>C9*Assumptions!$B$24</x:f>
        <x:v>0.5707520000000001</x:v>
      </x:c>
      <x:c r="D26" s="167" t="n">
        <x:f>D9*Assumptions!$B$24</x:f>
        <x:v>0.6588761088000001</x:v>
      </x:c>
      <x:c r="E26" s="167" t="n">
        <x:f>E9*Assumptions!$B$24</x:f>
        <x:v>0.7501304498688002</x:v>
      </x:c>
      <x:c r="F26" s="167" t="n">
        <x:f>F9*Assumptions!$B$24</x:f>
        <x:v>0.8421714560677022</x:v>
      </x:c>
      <x:c r="G26" s="166"/>
    </x:row>
    <x:row r="27">
      <x:c r="A27" s="166" t="str">
        <x:v>NWC (€m)</x:v>
      </x:c>
      <x:c r="B27" s="167" t="n">
        <x:f>B9*Assumptions!$B$25</x:f>
        <x:v>0.7000000000000001</x:v>
      </x:c>
      <x:c r="C27" s="167" t="n">
        <x:f>C9*Assumptions!$B$25</x:f>
        <x:v>0.8153600000000001</x:v>
      </x:c>
      <x:c r="D27" s="167" t="n">
        <x:f>D9*Assumptions!$B$25</x:f>
        <x:v>0.9412515840000002</x:v>
      </x:c>
      <x:c r="E27" s="167" t="n">
        <x:f>E9*Assumptions!$B$25</x:f>
        <x:v>1.0716149283840002</x:v>
      </x:c>
      <x:c r="F27" s="167" t="n">
        <x:f>F9*Assumptions!$B$25</x:f>
        <x:v>1.2031020800967174</x:v>
      </x:c>
      <x:c r="G27" s="166"/>
    </x:row>
    <x:row r="28">
      <x:c r="A28" s="166" t="str">
        <x:v>Change in NWC (€m)</x:v>
      </x:c>
      <x:c r="B28" s="211"/>
      <x:c r="C28" s="208" t="n">
        <x:f>C27-B27</x:f>
        <x:v>0.11536000000000002</x:v>
      </x:c>
      <x:c r="D28" s="208" t="n">
        <x:f>D27-C27</x:f>
        <x:v>0.1258915840000001</x:v>
      </x:c>
      <x:c r="E28" s="208" t="n">
        <x:f>E27-D27</x:f>
        <x:v>0.130363344384</x:v>
      </x:c>
      <x:c r="F28" s="208" t="n">
        <x:f>F27-E27</x:f>
        <x:v>0.1314871517127172</x:v>
      </x:c>
      <x:c r="G28" s="166"/>
    </x:row>
    <x:row r="29">
      <x:c r="A29" s="179" t="str">
        <x:v>Unlevered FCF (€m)</x:v>
      </x:c>
      <x:c r="B29" s="212"/>
      <x:c r="C29" s="210" t="n">
        <x:f>C25+C22-C26-C28</x:f>
        <x:v>5.491572799999999</x:v>
      </x:c>
      <x:c r="D29" s="210" t="n">
        <x:f>D25+D22-D26-D28</x:f>
        <x:v>6.7808973439199995</x:v>
      </x:c>
      <x:c r="E29" s="210" t="n">
        <x:f>E25+E22-E26-E28</x:f>
        <x:v>8.132266185160322</x:v>
      </x:c>
      <x:c r="F29" s="210" t="n">
        <x:f>F25+F22-F26-F28</x:f>
        <x:v>9.435594770204982</x:v>
      </x:c>
      <x:c r="G29" s="166"/>
    </x:row>
    <x:row r="30">
      <x:c r="A30" s="166" t="str">
        <x:v>Discount period</x:v>
      </x:c>
      <x:c r="B30" s="213" t="n">
        <x:v>0</x:v>
      </x:c>
      <x:c r="C30" s="213" t="n">
        <x:v>1</x:v>
      </x:c>
      <x:c r="D30" s="213" t="n">
        <x:v>2</x:v>
      </x:c>
      <x:c r="E30" s="213" t="n">
        <x:v>3</x:v>
      </x:c>
      <x:c r="F30" s="213" t="n">
        <x:v>4</x:v>
      </x:c>
      <x:c r="G30" s="166"/>
    </x:row>
    <x:row r="31">
      <x:c r="A31" s="166" t="str">
        <x:v>PV factor</x:v>
      </x:c>
      <x:c r="B31" s="214"/>
      <x:c r="C31" s="215" t="n">
        <x:f>1/(1+Assumptions!$B$26)^1</x:f>
        <x:v>0.9090909090909091</x:v>
      </x:c>
      <x:c r="D31" s="215" t="n">
        <x:f>1/(1+Assumptions!$B$26)^2</x:f>
        <x:v>0.8264462809917354</x:v>
      </x:c>
      <x:c r="E31" s="215" t="n">
        <x:f>1/(1+Assumptions!$B$26)^3</x:f>
        <x:v>0.7513148009015775</x:v>
      </x:c>
      <x:c r="F31" s="215" t="n">
        <x:f>1/(1+Assumptions!$B$26)^4</x:f>
        <x:v>0.6830134553650705</x:v>
      </x:c>
      <x:c r="G31" s="166"/>
    </x:row>
    <x:row r="32">
      <x:c r="A32" s="166" t="str">
        <x:v>PV of UFCF (€m)</x:v>
      </x:c>
      <x:c r="B32" s="211"/>
      <x:c r="C32" s="208" t="n">
        <x:f>C29*C31</x:f>
        <x:v>4.9923389090909085</x:v>
      </x:c>
      <x:c r="D32" s="208" t="n">
        <x:f>D29*D31</x:f>
        <x:v>5.604047391669421</x:v>
      </x:c>
      <x:c r="E32" s="208" t="n">
        <x:f>E29*E31</x:f>
        <x:v>6.109891949782359</x:v>
      </x:c>
      <x:c r="F32" s="208" t="n">
        <x:f>F29*F31</x:f>
        <x:v>6.444638187422294</x:v>
      </x:c>
      <x:c r="G32" s="166"/>
    </x:row>
    <x:row r="33">
      <x:c r="A33" s="166" t="str">
        <x:v>Terminal value at 2030 (€m)</x:v>
      </x:c>
      <x:c r="B33" s="211"/>
      <x:c r="C33" s="208"/>
      <x:c r="D33" s="208"/>
      <x:c r="E33" s="208"/>
      <x:c r="F33" s="208" t="n">
        <x:f>F29*(1+Assumptions!$B$27)/(Assumptions!$B$26-Assumptions!$B$27)</x:f>
        <x:v>120.30383332011351</x:v>
      </x:c>
      <x:c r="G33" s="166"/>
    </x:row>
    <x:row r="34">
      <x:c r="A34" s="166" t="str">
        <x:v>PV of terminal value (€m)</x:v>
      </x:c>
      <x:c r="B34" s="211"/>
      <x:c r="C34" s="208"/>
      <x:c r="D34" s="208"/>
      <x:c r="E34" s="208"/>
      <x:c r="F34" s="208" t="n">
        <x:f>F33*F31</x:f>
        <x:v>82.16913688963423</x:v>
      </x:c>
      <x:c r="G34" s="166"/>
    </x:row>
    <x:row r="35">
      <x:c r="A35" s="166"/>
      <x:c r="B35" s="211"/>
      <x:c r="C35" s="211"/>
      <x:c r="D35" s="211"/>
      <x:c r="E35" s="211"/>
      <x:c r="F35" s="211"/>
      <x:c r="G35" s="166"/>
    </x:row>
    <x:row r="36">
      <x:c r="A36" s="216" t="str">
        <x:v>DCF Enterprise Value as of YE2026 (€m)</x:v>
      </x:c>
      <x:c r="B36" s="217"/>
      <x:c r="C36" s="217"/>
      <x:c r="D36" s="217"/>
      <x:c r="E36" s="217"/>
      <x:c r="F36" s="217" t="n">
        <x:f>SUM(C32:F32)+F34</x:f>
        <x:v>105.32005332759921</x:v>
      </x:c>
      <x:c r="G36" s="166"/>
    </x:row>
    <x:row r="37">
      <x:c r="A37" s="166"/>
      <x:c r="B37" s="166"/>
      <x:c r="C37" s="166"/>
      <x:c r="D37" s="166"/>
      <x:c r="E37" s="166"/>
      <x:c r="F37" s="166"/>
      <x:c r="G37" s="166"/>
    </x:row>
    <x:row r="38" ht="21" customHeight="1">
      <x:c r="A38" s="17" t="str">
        <x:v>LBO Debt Schedule &amp; PE Backsolve</x:v>
      </x:c>
      <x:c r="B38" s="17"/>
      <x:c r="C38" s="17"/>
      <x:c r="D38" s="17"/>
      <x:c r="E38" s="17"/>
      <x:c r="F38" s="17"/>
      <x:c r="G38" s="166"/>
    </x:row>
    <x:row r="39">
      <x:c r="A39" s="166" t="str">
        <x:v>Beginning debt (€m)</x:v>
      </x:c>
      <x:c r="B39" s="211"/>
      <x:c r="C39" s="208" t="n">
        <x:f>B44</x:f>
        <x:v>28</x:v>
      </x:c>
      <x:c r="D39" s="208" t="n">
        <x:f>C44</x:f>
        <x:v>23.6844272</x:v>
      </x:c>
      <x:c r="E39" s="208" t="n">
        <x:f>D44</x:f>
        <x:v>17.89827579848</x:v>
      </x:c>
      <x:c r="F39" s="208" t="n">
        <x:f>E44</x:f>
        <x:v>10.517737196855839</x:v>
      </x:c>
      <x:c r="G39" s="166"/>
    </x:row>
    <x:row r="40">
      <x:c r="A40" s="166" t="str">
        <x:v>Cash interest (€m)</x:v>
      </x:c>
      <x:c r="B40" s="211"/>
      <x:c r="C40" s="167" t="n">
        <x:f>C39*Assumptions!$B$31</x:f>
        <x:v>1.68</x:v>
      </x:c>
      <x:c r="D40" s="167" t="n">
        <x:f>D39*Assumptions!$B$31</x:f>
        <x:v>1.421065632</x:v>
      </x:c>
      <x:c r="E40" s="167" t="n">
        <x:f>E39*Assumptions!$B$31</x:f>
        <x:v>1.0738965479088</x:v>
      </x:c>
      <x:c r="F40" s="167" t="n">
        <x:f>F39*Assumptions!$B$31</x:f>
        <x:v>0.6310642318113503</x:v>
      </x:c>
      <x:c r="G40" s="166"/>
    </x:row>
    <x:row r="41">
      <x:c r="A41" s="166" t="str">
        <x:v>Levered cash taxes (€m)</x:v>
      </x:c>
      <x:c r="B41" s="211"/>
      <x:c r="C41" s="167" t="n">
        <x:f>MAX(0,(C23-C40)*Assumptions!$B$22)</x:f>
        <x:v>1.9339152</x:v>
      </x:c>
      <x:c r="D41" s="167" t="n">
        <x:f>MAX(0,(D23-D40)*Assumptions!$B$22)</x:f>
        <x:v>2.5740720616800004</x:v>
      </x:c>
      <x:c r="E41" s="167" t="n">
        <x:f>MAX(0,(E23-E40)*Assumptions!$B$22)</x:f>
        <x:v>3.264884330934241</x:v>
      </x:c>
      <x:c r="F41" s="167" t="n">
        <x:f>MAX(0,(F23-F40)*Assumptions!$B$22)</x:f>
        <x:v>3.962420214711182</x:v>
      </x:c>
      <x:c r="G41" s="166"/>
    </x:row>
    <x:row r="42">
      <x:c r="A42" s="166" t="str">
        <x:v>Levered FCF pre-debt paydown (€m)</x:v>
      </x:c>
      <x:c r="B42" s="211"/>
      <x:c r="C42" s="208" t="n">
        <x:f>C18-C41-C26-C28-C40</x:f>
        <x:v>4.315572800000001</x:v>
      </x:c>
      <x:c r="D42" s="208" t="n">
        <x:f>D18-D41-D26-D28-D40</x:f>
        <x:v>5.78615140152</x:v>
      </x:c>
      <x:c r="E42" s="208" t="n">
        <x:f>E18-E41-E26-E28-E40</x:f>
        <x:v>7.380538601624162</x:v>
      </x:c>
      <x:c r="F42" s="208" t="n">
        <x:f>F18-F41-F26-F28-F40</x:f>
        <x:v>8.993849807937037</x:v>
      </x:c>
      <x:c r="G42" s="166"/>
    </x:row>
    <x:row r="43">
      <x:c r="A43" s="166" t="str">
        <x:v>Debt repayment / cash sweep (€m)</x:v>
      </x:c>
      <x:c r="B43" s="211"/>
      <x:c r="C43" s="208" t="n">
        <x:f>MIN(C39,MAX(0,C42)*Assumptions!$B$34)</x:f>
        <x:v>4.315572800000001</x:v>
      </x:c>
      <x:c r="D43" s="208" t="n">
        <x:f>MIN(D39,MAX(0,D42)*Assumptions!$B$34)</x:f>
        <x:v>5.78615140152</x:v>
      </x:c>
      <x:c r="E43" s="208" t="n">
        <x:f>MIN(E39,MAX(0,E42)*Assumptions!$B$34)</x:f>
        <x:v>7.380538601624162</x:v>
      </x:c>
      <x:c r="F43" s="208" t="n">
        <x:f>MIN(F39,MAX(0,F42)*Assumptions!$B$34)</x:f>
        <x:v>8.993849807937037</x:v>
      </x:c>
      <x:c r="G43" s="166"/>
    </x:row>
    <x:row r="44">
      <x:c r="A44" s="179" t="str">
        <x:v>Ending debt (€m)</x:v>
      </x:c>
      <x:c r="B44" s="180" t="n">
        <x:f>Assumptions!B30*Assumptions!B6</x:f>
        <x:v>28</x:v>
      </x:c>
      <x:c r="C44" s="210" t="n">
        <x:f>C39-C43</x:f>
        <x:v>23.6844272</x:v>
      </x:c>
      <x:c r="D44" s="210" t="n">
        <x:f>D39-D43</x:f>
        <x:v>17.89827579848</x:v>
      </x:c>
      <x:c r="E44" s="210" t="n">
        <x:f>E39-E43</x:f>
        <x:v>10.517737196855839</x:v>
      </x:c>
      <x:c r="F44" s="210" t="n">
        <x:f>F39-F43</x:f>
        <x:v>1.5238873889188014</x:v>
      </x:c>
      <x:c r="G44" s="166"/>
    </x:row>
    <x:row r="45">
      <x:c r="A45" s="166"/>
      <x:c r="B45" s="211"/>
      <x:c r="C45" s="211"/>
      <x:c r="D45" s="211"/>
      <x:c r="E45" s="211"/>
      <x:c r="F45" s="211"/>
      <x:c r="G45" s="166"/>
    </x:row>
    <x:row r="46">
      <x:c r="A46" s="166" t="str">
        <x:v>2030 Exit Enterprise Value (€m)</x:v>
      </x:c>
      <x:c r="B46" s="211"/>
      <x:c r="C46" s="211"/>
      <x:c r="D46" s="211"/>
      <x:c r="E46" s="211"/>
      <x:c r="F46" s="208" t="n">
        <x:f>F33</x:f>
        <x:v>120.30383332011351</x:v>
      </x:c>
      <x:c r="G46" s="166"/>
    </x:row>
    <x:row r="47">
      <x:c r="A47" s="166" t="str">
        <x:v>2030 Ending debt / net debt (€m)</x:v>
      </x:c>
      <x:c r="B47" s="211"/>
      <x:c r="C47" s="211"/>
      <x:c r="D47" s="211"/>
      <x:c r="E47" s="211"/>
      <x:c r="F47" s="208" t="n">
        <x:f>F44</x:f>
        <x:v>1.5238873889188014</x:v>
      </x:c>
      <x:c r="G47" s="166"/>
    </x:row>
    <x:row r="48">
      <x:c r="A48" s="166" t="str">
        <x:v>2030 Exit Equity Value (€m)</x:v>
      </x:c>
      <x:c r="B48" s="211"/>
      <x:c r="C48" s="211"/>
      <x:c r="D48" s="211"/>
      <x:c r="E48" s="211"/>
      <x:c r="F48" s="208" t="n">
        <x:f>F46-F47</x:f>
        <x:v>118.7799459311947</x:v>
      </x:c>
      <x:c r="G48" s="166"/>
    </x:row>
    <x:row r="49">
      <x:c r="A49" s="166" t="str">
        <x:v>Maximum 2026 Entry Equity (€m)</x:v>
      </x:c>
      <x:c r="B49" s="211"/>
      <x:c r="C49" s="211"/>
      <x:c r="D49" s="211"/>
      <x:c r="E49" s="211"/>
      <x:c r="F49" s="167" t="n">
        <x:f>F48/(1+Assumptions!B32)^Assumptions!B33</x:f>
        <x:v>48.65226585341735</x:v>
      </x:c>
      <x:c r="G49" s="166"/>
    </x:row>
    <x:row r="50">
      <x:c r="A50" s="179" t="str">
        <x:v>Maximum 2026 Purchase Enterprise Value (€m)</x:v>
      </x:c>
      <x:c r="B50" s="212"/>
      <x:c r="C50" s="212"/>
      <x:c r="D50" s="212"/>
      <x:c r="E50" s="212"/>
      <x:c r="F50" s="180" t="n">
        <x:f>F49+B44</x:f>
        <x:v>76.65226585341735</x:v>
      </x:c>
      <x:c r="G50" s="166"/>
    </x:row>
    <x:row r="51">
      <x:c r="A51" s="166" t="str">
        <x:v>Maximum Entry EV / EBITDA</x:v>
      </x:c>
      <x:c r="B51" s="166"/>
      <x:c r="C51" s="166"/>
      <x:c r="D51" s="166"/>
      <x:c r="E51" s="166"/>
      <x:c r="F51" s="168" t="n">
        <x:f>F50/Assumptions!B6</x:f>
        <x:v>10.950323693345336</x:v>
      </x:c>
      <x:c r="G51" s="166"/>
    </x:row>
    <x:row r="52">
      <x:c r="A52" s="166" t="str">
        <x:v>Implied Equity MOIC</x:v>
      </x:c>
      <x:c r="B52" s="166"/>
      <x:c r="C52" s="166"/>
      <x:c r="D52" s="166"/>
      <x:c r="E52" s="166"/>
      <x:c r="F52" s="218" t="n">
        <x:f>F48/F49</x:f>
        <x:v>2.44140625</x:v>
      </x:c>
      <x:c r="G52" s="166"/>
    </x:row>
    <x:row r="53">
      <x:c r="A53" s="166" t="str">
        <x:v>Implied 2030 Exit EV / EBITDA</x:v>
      </x:c>
      <x:c r="B53" s="166"/>
      <x:c r="C53" s="166"/>
      <x:c r="D53" s="166"/>
      <x:c r="E53" s="166"/>
      <x:c r="F53" s="218" t="n">
        <x:f>F46/F18</x:f>
        <x:v>8.262062515811616</x:v>
      </x:c>
      <x:c r="G53" s="166"/>
    </x:row>
    <x:row r="54">
      <x:c r="A54" s="166"/>
      <x:c r="B54" s="166"/>
      <x:c r="C54" s="166"/>
      <x:c r="D54" s="166"/>
      <x:c r="E54" s="166"/>
      <x:c r="F54" s="166"/>
      <x:c r="G54" s="166"/>
    </x:row>
    <x:row r="55">
      <x:c r="A55" s="166"/>
      <x:c r="B55" s="166"/>
      <x:c r="C55" s="166"/>
      <x:c r="D55" s="166"/>
      <x:c r="E55" s="166"/>
      <x:c r="F55" s="166"/>
      <x:c r="G55" s="166"/>
    </x:row>
    <x:row r="56">
      <x:c r="A56" s="166"/>
      <x:c r="B56" s="166"/>
      <x:c r="C56" s="166"/>
      <x:c r="D56" s="166"/>
      <x:c r="E56" s="166"/>
      <x:c r="F56" s="166"/>
      <x:c r="G56" s="166"/>
    </x:row>
    <x:row r="57">
      <x:c r="A57" s="166"/>
      <x:c r="B57" s="166"/>
      <x:c r="C57" s="166"/>
      <x:c r="D57" s="166"/>
      <x:c r="E57" s="166"/>
      <x:c r="F57" s="166"/>
      <x:c r="G57" s="166"/>
    </x:row>
    <x:row r="58">
      <x:c r="A58" s="166"/>
      <x:c r="B58" s="166"/>
      <x:c r="C58" s="166"/>
      <x:c r="D58" s="166"/>
      <x:c r="E58" s="166"/>
      <x:c r="F58" s="166"/>
      <x:c r="G58" s="166"/>
    </x:row>
    <x:row r="59">
      <x:c r="A59" s="166"/>
      <x:c r="B59" s="166"/>
      <x:c r="C59" s="166"/>
      <x:c r="D59" s="166"/>
      <x:c r="E59" s="166"/>
      <x:c r="F59" s="166"/>
      <x:c r="G59" s="166"/>
    </x:row>
    <x:row r="60">
      <x:c r="A60" s="166"/>
      <x:c r="B60" s="166"/>
      <x:c r="C60" s="166"/>
      <x:c r="D60" s="166"/>
      <x:c r="E60" s="166"/>
      <x:c r="F60" s="166"/>
      <x:c r="G60" s="166"/>
    </x:row>
  </x:sheetData>
  <x:mergeCells>
    <x:mergeCell ref="A4:F4"/>
    <x:mergeCell ref="A12:F12"/>
    <x:mergeCell ref="A21:F21"/>
    <x:mergeCell ref="A38:F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44" hidden="0" customWidth="1"/>
    <x:col min="5" max="5" width="14" hidden="0" customWidth="1"/>
    <x:col min="6" max="6" width="28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</x:cols>
  <x:sheetData>
    <x:row r="1" ht="30" customHeight="1">
      <x:c r="A1" s="274" t="str">
        <x:v>M&amp;A Exit Calculator | Assumptions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>
      <x:c r="A2" s="165" t="str">
        <x:v>Blue font = editable hardcoded input. Formulas are black/green. Units are €m unless otherwise stated.</x:v>
      </x:c>
      <x:c r="B2" s="165"/>
      <x:c r="C2" s="165"/>
      <x:c r="D2" s="165"/>
      <x:c r="E2" s="165"/>
      <x:c r="F2" s="165"/>
      <x:c r="G2" s="165"/>
      <x:c r="H2" s="165"/>
      <x:c r="I2" s="165"/>
      <x:c r="J2" s="165"/>
    </x:row>
    <x:row r="3">
      <x:c r="A3" s="166"/>
      <x:c r="B3" s="166"/>
      <x:c r="C3" s="166"/>
      <x:c r="D3" s="166"/>
      <x:c r="E3" s="166"/>
      <x:c r="F3" s="166"/>
      <x:c r="G3" s="166"/>
      <x:c r="H3" s="166"/>
      <x:c r="I3" s="166"/>
      <x:c r="J3" s="166"/>
    </x:row>
    <x:row r="4" ht="21" customHeight="1">
      <x:c r="A4" s="17" t="str">
        <x:v>1. Base Year / Entry Fundamentals</x:v>
      </x:c>
      <x:c r="B4" s="17"/>
      <x:c r="C4" s="17"/>
      <x:c r="D4" s="17"/>
      <x:c r="E4" s="17"/>
      <x:c r="F4" s="17"/>
      <x:c r="G4" s="17"/>
      <x:c r="H4" s="17"/>
      <x:c r="I4" s="17"/>
      <x:c r="J4" s="17"/>
    </x:row>
    <x:row r="5">
      <x:c r="A5" s="166" t="str">
        <x:v>Revenue 2026 (€m)</x:v>
      </x:c>
      <x:c r="B5" s="234" t="n">
        <x:v>14</x:v>
      </x:c>
      <x:c r="C5" s="235" t="str">
        <x:v>User input</x:v>
      </x:c>
      <x:c r="D5" s="235" t="str">
        <x:v>Current-year starting point</x:v>
      </x:c>
      <x:c r="E5" s="166"/>
      <x:c r="F5" s="166"/>
      <x:c r="G5" s="166"/>
      <x:c r="H5" s="166"/>
      <x:c r="I5" s="166"/>
      <x:c r="J5" s="166"/>
    </x:row>
    <x:row r="6">
      <x:c r="A6" s="166" t="str">
        <x:v>EBITDA 2026 (€m)</x:v>
      </x:c>
      <x:c r="B6" s="234" t="n">
        <x:v>7</x:v>
      </x:c>
      <x:c r="C6" s="235" t="str">
        <x:v>User input</x:v>
      </x:c>
      <x:c r="D6" s="235" t="str">
        <x:v>Current-year starting point</x:v>
      </x:c>
      <x:c r="E6" s="166"/>
      <x:c r="F6" s="166"/>
      <x:c r="G6" s="166"/>
      <x:c r="H6" s="166"/>
      <x:c r="I6" s="166"/>
      <x:c r="J6" s="166"/>
    </x:row>
    <x:row r="7">
      <x:c r="A7" s="166" t="str">
        <x:v>Paying customers 2026 (#)</x:v>
      </x:c>
      <x:c r="B7" s="236" t="n">
        <x:v>600</x:v>
      </x:c>
      <x:c r="C7" s="235" t="str">
        <x:v>User input</x:v>
      </x:c>
      <x:c r="D7" s="235" t="str">
        <x:v>Current customer base</x:v>
      </x:c>
      <x:c r="E7" s="166"/>
      <x:c r="F7" s="166"/>
      <x:c r="G7" s="166"/>
      <x:c r="H7" s="166"/>
      <x:c r="I7" s="166"/>
      <x:c r="J7" s="166"/>
    </x:row>
    <x:row r="8">
      <x:c r="A8" s="166" t="str">
        <x:v>Implied ARPU 2026 (€k p.a.)</x:v>
      </x:c>
      <x:c r="B8" s="237" t="n">
        <x:f>B5*1000/B7</x:f>
        <x:v>23.333333333333332</x:v>
      </x:c>
      <x:c r="C8" s="235" t="str">
        <x:v>Formula</x:v>
      </x:c>
      <x:c r="D8" s="235" t="str">
        <x:v>Revenue / customers</x:v>
      </x:c>
      <x:c r="E8" s="166"/>
      <x:c r="F8" s="166"/>
      <x:c r="G8" s="166"/>
      <x:c r="H8" s="166"/>
      <x:c r="I8" s="166"/>
      <x:c r="J8" s="166"/>
    </x:row>
    <x:row r="9">
      <x:c r="A9" s="166" t="str">
        <x:v>EBITDA margin 2026</x:v>
      </x:c>
      <x:c r="B9" s="238" t="n">
        <x:f>B6/B5</x:f>
        <x:v>0.5</x:v>
      </x:c>
      <x:c r="C9" s="235" t="str">
        <x:v>Formula</x:v>
      </x:c>
      <x:c r="D9" s="235" t="str">
        <x:v>EBITDA / revenue</x:v>
      </x:c>
      <x:c r="E9" s="166"/>
      <x:c r="F9" s="166"/>
      <x:c r="G9" s="166"/>
      <x:c r="H9" s="166"/>
      <x:c r="I9" s="166"/>
      <x:c r="J9" s="166"/>
    </x:row>
    <x:row r="10">
      <x:c r="A10" s="166" t="str">
        <x:v>Opex excl. D&amp;A 2026 (€m)</x:v>
      </x:c>
      <x:c r="B10" s="237" t="n">
        <x:f>B5-B6</x:f>
        <x:v>7</x:v>
      </x:c>
      <x:c r="C10" s="235" t="str">
        <x:v>Formula</x:v>
      </x:c>
      <x:c r="D10" s="235" t="str">
        <x:v>Revenue - EBITDA</x:v>
      </x:c>
      <x:c r="E10" s="166"/>
      <x:c r="F10" s="166"/>
      <x:c r="G10" s="166"/>
      <x:c r="H10" s="166"/>
      <x:c r="I10" s="166"/>
      <x:c r="J10" s="166"/>
    </x:row>
    <x:row r="11">
      <x:c r="A11" s="166" t="str">
        <x:v>Customer-variable share of Opex</x:v>
      </x:c>
      <x:c r="B11" s="239" t="n">
        <x:v>0.6</x:v>
      </x:c>
      <x:c r="C11" s="235" t="str">
        <x:v>Model assumption</x:v>
      </x:c>
      <x:c r="D11" s="235" t="str">
        <x:v>Separates customer-driven from fixed cost base</x:v>
      </x:c>
      <x:c r="E11" s="166"/>
      <x:c r="F11" s="166"/>
      <x:c r="G11" s="166"/>
      <x:c r="H11" s="166"/>
      <x:c r="I11" s="166"/>
      <x:c r="J11" s="166"/>
    </x:row>
    <x:row r="12">
      <x:c r="A12" s="166" t="str">
        <x:v>Fixed share of Opex</x:v>
      </x:c>
      <x:c r="B12" s="238" t="n">
        <x:f>1-B11</x:f>
        <x:v>0.4</x:v>
      </x:c>
      <x:c r="C12" s="235" t="str">
        <x:v>Formula</x:v>
      </x:c>
      <x:c r="D12" s="235" t="str">
        <x:v>1 - variable share</x:v>
      </x:c>
      <x:c r="E12" s="166"/>
      <x:c r="F12" s="166"/>
      <x:c r="G12" s="166"/>
      <x:c r="H12" s="166"/>
      <x:c r="I12" s="166"/>
      <x:c r="J12" s="166"/>
    </x:row>
    <x:row r="13">
      <x:c r="A13" s="166" t="str">
        <x:v>Annual cost inflation</x:v>
      </x:c>
      <x:c r="B13" s="239" t="n">
        <x:v>0.025</x:v>
      </x:c>
      <x:c r="C13" s="235" t="str">
        <x:v>Model assumption</x:v>
      </x:c>
      <x:c r="D13" s="235" t="str">
        <x:v>Applied to variable cost per customer and fixed Opex</x:v>
      </x:c>
      <x:c r="E13" s="166"/>
      <x:c r="F13" s="166"/>
      <x:c r="G13" s="166"/>
      <x:c r="H13" s="166"/>
      <x:c r="I13" s="166"/>
      <x:c r="J13" s="166"/>
    </x:row>
    <x:row r="14">
      <x:c r="A14" s="166"/>
      <x:c r="B14" s="166"/>
      <x:c r="C14" s="166"/>
      <x:c r="D14" s="166"/>
      <x:c r="E14" s="166"/>
      <x:c r="F14" s="166"/>
      <x:c r="G14" s="166"/>
      <x:c r="H14" s="166"/>
      <x:c r="I14" s="166"/>
      <x:c r="J14" s="166"/>
    </x:row>
    <x:row r="15" ht="21" customHeight="1">
      <x:c r="A15" s="17" t="str">
        <x:v>2. Revenue Growth &amp; Cost Synergies</x:v>
      </x:c>
      <x:c r="B15" s="17"/>
      <x:c r="C15" s="17"/>
      <x:c r="D15" s="17"/>
      <x:c r="E15" s="17"/>
      <x:c r="F15" s="17"/>
      <x:c r="G15" s="17"/>
      <x:c r="H15" s="17"/>
      <x:c r="I15" s="17"/>
      <x:c r="J15" s="17"/>
    </x:row>
    <x:row r="16">
      <x:c r="A16" s="204" t="str">
        <x:v>Driver</x:v>
      </x:c>
      <x:c r="B16" s="205" t="n">
        <x:v>2027</x:v>
      </x:c>
      <x:c r="C16" s="205" t="n">
        <x:v>2028</x:v>
      </x:c>
      <x:c r="D16" s="205" t="n">
        <x:v>2029</x:v>
      </x:c>
      <x:c r="E16" s="205" t="n">
        <x:v>2030</x:v>
      </x:c>
      <x:c r="F16" s="205" t="str">
        <x:v>Source / rationale</x:v>
      </x:c>
      <x:c r="G16" s="166"/>
      <x:c r="H16" s="166"/>
      <x:c r="I16" s="166"/>
      <x:c r="J16" s="166"/>
    </x:row>
    <x:row r="17">
      <x:c r="A17" s="166" t="str">
        <x:v>ARPU growth</x:v>
      </x:c>
      <x:c r="B17" s="240" t="n">
        <x:v>0.04</x:v>
      </x:c>
      <x:c r="C17" s="240" t="n">
        <x:v>0.04</x:v>
      </x:c>
      <x:c r="D17" s="240" t="n">
        <x:v>0.035</x:v>
      </x:c>
      <x:c r="E17" s="240" t="n">
        <x:v>0.03</x:v>
      </x:c>
      <x:c r="F17" s="235" t="str">
        <x:v>Model assumption. Editable</x:v>
      </x:c>
      <x:c r="G17" s="166"/>
      <x:c r="H17" s="166"/>
      <x:c r="I17" s="166"/>
      <x:c r="J17" s="166"/>
    </x:row>
    <x:row r="18">
      <x:c r="A18" s="166" t="str">
        <x:v>Customer growth</x:v>
      </x:c>
      <x:c r="B18" s="240" t="n">
        <x:v>0.12</x:v>
      </x:c>
      <x:c r="C18" s="240" t="n">
        <x:v>0.11</x:v>
      </x:c>
      <x:c r="D18" s="240" t="n">
        <x:v>0.1</x:v>
      </x:c>
      <x:c r="E18" s="240" t="n">
        <x:v>0.09</x:v>
      </x:c>
      <x:c r="F18" s="235" t="str">
        <x:v>Model assumption. Editable</x:v>
      </x:c>
      <x:c r="G18" s="166"/>
      <x:c r="H18" s="166"/>
      <x:c r="I18" s="166"/>
      <x:c r="J18" s="166"/>
    </x:row>
    <x:row r="19">
      <x:c r="A19" s="166" t="str">
        <x:v>Cost synergies (% of pre-synergy Opex)</x:v>
      </x:c>
      <x:c r="B19" s="240" t="n">
        <x:v>0</x:v>
      </x:c>
      <x:c r="C19" s="240" t="n">
        <x:v>0.02</x:v>
      </x:c>
      <x:c r="D19" s="240" t="n">
        <x:v>0.04</x:v>
      </x:c>
      <x:c r="E19" s="240" t="n">
        <x:v>0.05</x:v>
      </x:c>
      <x:c r="F19" s="235" t="str">
        <x:v>Model assumption. Editable</x:v>
      </x:c>
      <x:c r="G19" s="166"/>
      <x:c r="H19" s="166"/>
      <x:c r="I19" s="166"/>
      <x:c r="J19" s="166"/>
    </x:row>
    <x:row r="20">
      <x:c r="A20" s="166"/>
      <x:c r="B20" s="166"/>
      <x:c r="C20" s="166"/>
      <x:c r="D20" s="166"/>
      <x:c r="E20" s="166"/>
      <x:c r="F20" s="166"/>
      <x:c r="G20" s="166"/>
      <x:c r="H20" s="166"/>
      <x:c r="I20" s="166"/>
      <x:c r="J20" s="166"/>
    </x:row>
    <x:row r="21" ht="21" customHeight="1">
      <x:c r="A21" s="17" t="str">
        <x:v>3. DCF Assumptions</x:v>
      </x:c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2">
      <x:c r="A22" s="166" t="str">
        <x:v>Tax rate</x:v>
      </x:c>
      <x:c r="B22" s="240" t="n">
        <x:v>0.3</x:v>
      </x:c>
      <x:c r="C22" s="235" t="str">
        <x:v>Model assumption</x:v>
      </x:c>
      <x:c r="D22" s="235" t="str">
        <x:v>Simplified cash tax rate</x:v>
      </x:c>
      <x:c r="E22" s="166"/>
      <x:c r="F22" s="166"/>
      <x:c r="G22" s="166"/>
      <x:c r="H22" s="166"/>
      <x:c r="I22" s="166"/>
      <x:c r="J22" s="166"/>
    </x:row>
    <x:row r="23">
      <x:c r="A23" s="166" t="str">
        <x:v>D&amp;A / Revenue</x:v>
      </x:c>
      <x:c r="B23" s="240" t="n">
        <x:v>0.03</x:v>
      </x:c>
      <x:c r="C23" s="235" t="str">
        <x:v>Model assumption</x:v>
      </x:c>
      <x:c r="D23" s="235" t="str">
        <x:v>Used to derive EBIT</x:v>
      </x:c>
      <x:c r="E23" s="166"/>
      <x:c r="F23" s="166"/>
      <x:c r="G23" s="166"/>
      <x:c r="H23" s="166"/>
      <x:c r="I23" s="166"/>
      <x:c r="J23" s="166"/>
    </x:row>
    <x:row r="24">
      <x:c r="A24" s="166" t="str">
        <x:v>Capex / Revenue</x:v>
      </x:c>
      <x:c r="B24" s="240" t="n">
        <x:v>0.035</x:v>
      </x:c>
      <x:c r="C24" s="235" t="str">
        <x:v>Model assumption</x:v>
      </x:c>
      <x:c r="D24" s="235" t="str">
        <x:v>Slightly above D&amp;A to reflect growth investment</x:v>
      </x:c>
      <x:c r="E24" s="166"/>
      <x:c r="F24" s="166"/>
      <x:c r="G24" s="166"/>
      <x:c r="H24" s="166"/>
      <x:c r="I24" s="166"/>
      <x:c r="J24" s="166"/>
    </x:row>
    <x:row r="25">
      <x:c r="A25" s="166" t="str">
        <x:v>NWC / Revenue</x:v>
      </x:c>
      <x:c r="B25" s="240" t="n">
        <x:v>0.05</x:v>
      </x:c>
      <x:c r="C25" s="235" t="str">
        <x:v>Model assumption</x:v>
      </x:c>
      <x:c r="D25" s="235" t="str">
        <x:v>Working capital investment</x:v>
      </x:c>
      <x:c r="E25" s="166"/>
      <x:c r="F25" s="166"/>
      <x:c r="G25" s="166"/>
      <x:c r="H25" s="166"/>
      <x:c r="I25" s="166"/>
      <x:c r="J25" s="166"/>
    </x:row>
    <x:row r="26">
      <x:c r="A26" s="166" t="str">
        <x:v>WACC at 2030 exit</x:v>
      </x:c>
      <x:c r="B26" s="240" t="n">
        <x:v>0.1</x:v>
      </x:c>
      <x:c r="C26" s="235" t="str">
        <x:v>Model assumption</x:v>
      </x:c>
      <x:c r="D26" s="235" t="str">
        <x:v>Discount rate for terminal DCF</x:v>
      </x:c>
      <x:c r="E26" s="166"/>
      <x:c r="F26" s="166"/>
      <x:c r="G26" s="166"/>
      <x:c r="H26" s="166"/>
      <x:c r="I26" s="166"/>
      <x:c r="J26" s="166"/>
    </x:row>
    <x:row r="27">
      <x:c r="A27" s="166" t="str">
        <x:v>Terminal growth rate</x:v>
      </x:c>
      <x:c r="B27" s="240" t="n">
        <x:v>0.02</x:v>
      </x:c>
      <x:c r="C27" s="235" t="str">
        <x:v>Model assumption</x:v>
      </x:c>
      <x:c r="D27" s="235" t="str">
        <x:v>Long-term nominal growth</x:v>
      </x:c>
      <x:c r="E27" s="166"/>
      <x:c r="F27" s="166"/>
      <x:c r="G27" s="166"/>
      <x:c r="H27" s="166"/>
      <x:c r="I27" s="166"/>
      <x:c r="J27" s="166"/>
    </x:row>
    <x:row r="28">
      <x:c r="A28" s="166"/>
      <x:c r="B28" s="166"/>
      <x:c r="C28" s="166"/>
      <x:c r="D28" s="166"/>
      <x:c r="E28" s="166"/>
      <x:c r="F28" s="166"/>
      <x:c r="G28" s="166"/>
      <x:c r="H28" s="166"/>
      <x:c r="I28" s="166"/>
      <x:c r="J28" s="166"/>
    </x:row>
    <x:row r="29" ht="21" customHeight="1">
      <x:c r="A29" s="17" t="str">
        <x:v>4. LBO / PE Backsolve Assumptions</x:v>
      </x:c>
      <x:c r="B29" s="17"/>
      <x:c r="C29" s="17"/>
      <x:c r="D29" s="17"/>
      <x:c r="E29" s="17"/>
      <x:c r="F29" s="17"/>
      <x:c r="G29" s="17"/>
      <x:c r="H29" s="17"/>
      <x:c r="I29" s="17"/>
      <x:c r="J29" s="17"/>
    </x:row>
    <x:row r="30">
      <x:c r="A30" s="166" t="str">
        <x:v>Entry leverage (Debt / EBITDA)</x:v>
      </x:c>
      <x:c r="B30" s="241" t="n">
        <x:v>4</x:v>
      </x:c>
      <x:c r="C30" s="235" t="str">
        <x:v>User specified</x:v>
      </x:c>
      <x:c r="D30" s="235" t="str">
        <x:v>Gross debt at acquisition</x:v>
      </x:c>
      <x:c r="E30" s="166"/>
      <x:c r="F30" s="166"/>
      <x:c r="G30" s="166"/>
      <x:c r="H30" s="166"/>
      <x:c r="I30" s="166"/>
      <x:c r="J30" s="166"/>
    </x:row>
    <x:row r="31">
      <x:c r="A31" s="166" t="str">
        <x:v>Average cash interest rate</x:v>
      </x:c>
      <x:c r="B31" s="240" t="n">
        <x:v>0.06</x:v>
      </x:c>
      <x:c r="C31" s="235" t="str">
        <x:v>User specified</x:v>
      </x:c>
      <x:c r="D31" s="235" t="str">
        <x:v>Applied to beginning-of-year debt</x:v>
      </x:c>
      <x:c r="E31" s="166"/>
      <x:c r="F31" s="166"/>
      <x:c r="G31" s="166"/>
      <x:c r="H31" s="166"/>
      <x:c r="I31" s="166"/>
      <x:c r="J31" s="166"/>
    </x:row>
    <x:row r="32">
      <x:c r="A32" s="166" t="str">
        <x:v>Target equity IRR</x:v>
      </x:c>
      <x:c r="B32" s="242" t="n">
        <x:v>0.25</x:v>
      </x:c>
      <x:c r="C32" s="235" t="str">
        <x:v>Model assumption</x:v>
      </x:c>
      <x:c r="D32" s="235" t="str">
        <x:v>Required PE return. Key backsolve input</x:v>
      </x:c>
      <x:c r="E32" s="166"/>
      <x:c r="F32" s="166"/>
      <x:c r="G32" s="166"/>
      <x:c r="H32" s="166"/>
      <x:c r="I32" s="166"/>
      <x:c r="J32" s="166"/>
    </x:row>
    <x:row r="33">
      <x:c r="A33" s="166" t="str">
        <x:v>Holding period (years)</x:v>
      </x:c>
      <x:c r="B33" s="243" t="n">
        <x:v>4</x:v>
      </x:c>
      <x:c r="C33" s="235" t="str">
        <x:v>Model assumption</x:v>
      </x:c>
      <x:c r="D33" s="235" t="str">
        <x:v>End-2026 to end-2030</x:v>
      </x:c>
      <x:c r="E33" s="166"/>
      <x:c r="F33" s="166"/>
      <x:c r="G33" s="166"/>
      <x:c r="H33" s="166"/>
      <x:c r="I33" s="166"/>
      <x:c r="J33" s="166"/>
    </x:row>
    <x:row r="34">
      <x:c r="A34" s="166" t="str">
        <x:v>Cash sweep (% of levered FCF)</x:v>
      </x:c>
      <x:c r="B34" s="240" t="n">
        <x:v>1</x:v>
      </x:c>
      <x:c r="C34" s="235" t="str">
        <x:v>Model assumption</x:v>
      </x:c>
      <x:c r="D34" s="235" t="str">
        <x:v>All available FCF used to repay debt</x:v>
      </x:c>
      <x:c r="E34" s="166"/>
      <x:c r="F34" s="166"/>
      <x:c r="G34" s="166"/>
      <x:c r="H34" s="166"/>
      <x:c r="I34" s="166"/>
      <x:c r="J34" s="166"/>
    </x:row>
    <x:row r="35">
      <x:c r="A35" s="166"/>
      <x:c r="B35" s="166"/>
      <x:c r="C35" s="166"/>
      <x:c r="D35" s="166"/>
      <x:c r="E35" s="166"/>
      <x:c r="F35" s="166"/>
      <x:c r="G35" s="166"/>
      <x:c r="H35" s="166"/>
      <x:c r="I35" s="166"/>
      <x:c r="J35" s="166"/>
    </x:row>
    <x:row r="36" ht="21" customHeight="1">
      <x:c r="A36" s="17" t="str">
        <x:v>5. Sensitivity Grid Inputs</x:v>
      </x:c>
      <x:c r="B36" s="17"/>
      <x:c r="C36" s="17"/>
      <x:c r="D36" s="17"/>
      <x:c r="E36" s="17"/>
      <x:c r="F36" s="17"/>
      <x:c r="G36" s="17"/>
      <x:c r="H36" s="17"/>
      <x:c r="I36" s="17"/>
      <x:c r="J36" s="17"/>
    </x:row>
    <x:row r="37">
      <x:c r="A37" s="244" t="str">
        <x:v>Target IRR \ WACC</x:v>
      </x:c>
      <x:c r="B37" s="245" t="n">
        <x:v>0.08</x:v>
      </x:c>
      <x:c r="C37" s="245" t="n">
        <x:v>0.09</x:v>
      </x:c>
      <x:c r="D37" s="245" t="n">
        <x:v>0.1</x:v>
      </x:c>
      <x:c r="E37" s="245" t="n">
        <x:v>0.11</x:v>
      </x:c>
      <x:c r="F37" s="245" t="n">
        <x:v>0.12</x:v>
      </x:c>
      <x:c r="G37" s="166"/>
      <x:c r="H37" s="166"/>
      <x:c r="I37" s="166"/>
      <x:c r="J37" s="166"/>
    </x:row>
    <x:row r="38">
      <x:c r="A38" s="246" t="n">
        <x:v>0.2</x:v>
      </x:c>
      <x:c r="B38" s="247"/>
      <x:c r="C38" s="247"/>
      <x:c r="D38" s="247"/>
      <x:c r="E38" s="247"/>
      <x:c r="F38" s="247"/>
      <x:c r="G38" s="166"/>
      <x:c r="H38" s="166"/>
      <x:c r="I38" s="166"/>
      <x:c r="J38" s="166"/>
    </x:row>
    <x:row r="39">
      <x:c r="A39" s="246" t="n">
        <x:v>0.225</x:v>
      </x:c>
      <x:c r="B39" s="247"/>
      <x:c r="C39" s="247"/>
      <x:c r="D39" s="247"/>
      <x:c r="E39" s="247"/>
      <x:c r="F39" s="247"/>
      <x:c r="G39" s="166"/>
      <x:c r="H39" s="166"/>
      <x:c r="I39" s="166"/>
      <x:c r="J39" s="166"/>
    </x:row>
    <x:row r="40">
      <x:c r="A40" s="246" t="n">
        <x:v>0.25</x:v>
      </x:c>
      <x:c r="B40" s="247"/>
      <x:c r="C40" s="247"/>
      <x:c r="D40" s="247"/>
      <x:c r="E40" s="247"/>
      <x:c r="F40" s="247"/>
      <x:c r="G40" s="166"/>
      <x:c r="H40" s="166"/>
      <x:c r="I40" s="166"/>
      <x:c r="J40" s="166"/>
    </x:row>
    <x:row r="41">
      <x:c r="A41" s="246" t="n">
        <x:v>0.275</x:v>
      </x:c>
      <x:c r="B41" s="247"/>
      <x:c r="C41" s="247"/>
      <x:c r="D41" s="247"/>
      <x:c r="E41" s="247"/>
      <x:c r="F41" s="247"/>
      <x:c r="G41" s="166"/>
      <x:c r="H41" s="166"/>
      <x:c r="I41" s="166"/>
      <x:c r="J41" s="166"/>
    </x:row>
    <x:row r="42">
      <x:c r="A42" s="246" t="n">
        <x:v>0.3</x:v>
      </x:c>
      <x:c r="B42" s="247"/>
      <x:c r="C42" s="247"/>
      <x:c r="D42" s="247"/>
      <x:c r="E42" s="247"/>
      <x:c r="F42" s="247"/>
      <x:c r="G42" s="166"/>
      <x:c r="H42" s="166"/>
      <x:c r="I42" s="166"/>
      <x:c r="J42" s="166"/>
    </x:row>
    <x:row r="43">
      <x:c r="A43" s="166"/>
      <x:c r="B43" s="166"/>
      <x:c r="C43" s="166"/>
      <x:c r="D43" s="166"/>
      <x:c r="E43" s="166"/>
      <x:c r="F43" s="166"/>
      <x:c r="G43" s="166"/>
      <x:c r="H43" s="166"/>
      <x:c r="I43" s="166"/>
      <x:c r="J43" s="166"/>
    </x:row>
    <x:row r="44">
      <x:c r="A44" s="166"/>
      <x:c r="B44" s="166"/>
      <x:c r="C44" s="166"/>
      <x:c r="D44" s="166"/>
      <x:c r="E44" s="166"/>
      <x:c r="F44" s="166"/>
      <x:c r="G44" s="166"/>
      <x:c r="H44" s="166"/>
      <x:c r="I44" s="166"/>
      <x:c r="J44" s="166"/>
    </x:row>
    <x:row r="45">
      <x:c r="A45" s="166"/>
      <x:c r="B45" s="166"/>
      <x:c r="C45" s="166"/>
      <x:c r="D45" s="166"/>
      <x:c r="E45" s="166"/>
      <x:c r="F45" s="166"/>
      <x:c r="G45" s="166"/>
      <x:c r="H45" s="166"/>
      <x:c r="I45" s="166"/>
      <x:c r="J45" s="166"/>
    </x:row>
  </x:sheetData>
  <x:mergeCells>
    <x:mergeCell ref="A4:J4"/>
    <x:mergeCell ref="A15:J15"/>
    <x:mergeCell ref="A21:J21"/>
    <x:mergeCell ref="A29:J29"/>
    <x:mergeCell ref="A36:J36"/>
  </x:mergeCells>
  <x:pageMargins left="0.7" right="0.7" top="0.75" bottom="0.75" header="0.3" footer="0.3"/>
</x:worksheet>
</file>